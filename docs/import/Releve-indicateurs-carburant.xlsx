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 d'emploi" state="visible" r:id="rId4"/>
    <sheet sheetId="2" name="Relevé par groupe" state="visible" r:id="rId5"/>
    <sheet sheetId="3" name="Engins" state="visible" r:id="rId6"/>
    <sheet sheetId="4" name="Listes" state="visible" r:id="rId7"/>
  </sheets>
  <calcPr calcId="171027" fullCalcOnLoad="1"/>
</workbook>
</file>

<file path=xl/sharedStrings.xml><?xml version="1.0" encoding="utf-8"?>
<sst xmlns="http://schemas.openxmlformats.org/spreadsheetml/2006/main" count="1137" uniqueCount="545">
  <si>
    <t>PerfectMaint — Relevé terrain des indicateurs de carburant</t>
  </si>
  <si>
    <t>Parc : 108 engins (import d'octobre 2026), regroupés en 33 groupes d'engins identiques. Édité par BELEJ-CONSULTING.</t>
  </si>
  <si>
    <t/>
  </si>
  <si>
    <t>Pourquoi ce relevé</t>
  </si>
  <si>
    <t>L'encodeur ne saisira plus un pourcentage estimé, mais la graduation où se trouve l'aiguille (ex. « 2 » sur un indicateur à 4 tirets).</t>
  </si>
  <si>
    <t>PerfectMaint en déduit les litres à partir de la capacité du réservoir : 2 / 4 tirets avec un réservoir de 80 L = 40 L (50 %).</t>
  </si>
  <si>
    <t>Il faut donc connaître, pour chaque modèle d'engin : son type d'indicateur, son nombre de graduations et la capacité de son réservoir.</t>
  </si>
  <si>
    <t>Comment remplir</t>
  </si>
  <si>
    <t>1. Onglet « Relevé par groupe » : une ligne par groupe d'engins identiques. Remplir UNIQUEMENT les cellules jaunes.</t>
  </si>
  <si>
    <t xml:space="preserve">   • Modèle exact : lu sur la plaque constructeur ou la carte grise (ex. Land Cruiser 79, Hilux GD-6, Tata LP 1318).</t>
  </si>
  <si>
    <t xml:space="preserve">   • Type d'indicateur : choisir dans la liste. Compter les graduations entre VIDE (E) et PLEIN (F) : E · ½ · F = 2 ; E · ¼ · ½ · ¾ · F = 4.</t>
  </si>
  <si>
    <t xml:space="preserve">   • Capacité du réservoir en litres : notice constructeur ou plaque du réservoir. Réservoirs additionnels : capacité totale + remarque.</t>
  </si>
  <si>
    <t xml:space="preserve">   • Joindre une photo du tableau de bord par groupe (nom du fichier = référence du groupe, ex. G01.jpg).</t>
  </si>
  <si>
    <t>2. Si, dans un même groupe, un engin a un indicateur ou un réservoir différent : le signaler dans l'onglet « Engins » (colonnes jaunes).</t>
  </si>
  <si>
    <t>3. La ligne grisée « EXEMPLE » montre le format attendu ; ne pas la modifier.</t>
  </si>
  <si>
    <t>Après le relevé</t>
  </si>
  <si>
    <t>Les réglages sont saisis dans PerfectMaint › Référentiel › Carburant par modèle (indicateur + capacité), et sur la fiche engin pour les exceptions.</t>
  </si>
  <si>
    <t>Les engins doivent être rattachés à leur modèle dans le référentiel (aujourd'hui, aucun engin importé n'a de modèle renseigné).</t>
  </si>
  <si>
    <t>Légende</t>
  </si>
  <si>
    <t>Cellule à remplir sur le terrain</t>
  </si>
  <si>
    <t>Ligne d'exemple (format attendu)</t>
  </si>
  <si>
    <t>Relevé par groupe d'engins identiques — remplir les cellules jaunes</t>
  </si>
  <si>
    <t>Nb engins : calculé depuis l'onglet « Engins ». Graduations : nombre de tirets entre VIDE et PLEIN (laisser vide pour un affichage numérique).</t>
  </si>
  <si>
    <t>Réf.</t>
  </si>
  <si>
    <t>Groupe (catégorie · marque · type)</t>
  </si>
  <si>
    <t>Catégorie</t>
  </si>
  <si>
    <t>Marque</t>
  </si>
  <si>
    <t>Nb engins</t>
  </si>
  <si>
    <t>Sites</t>
  </si>
  <si>
    <t>Codes engins</t>
  </si>
  <si>
    <t>Modèle exact</t>
  </si>
  <si>
    <t>Type d'indicateur</t>
  </si>
  <si>
    <t>Nb graduations</t>
  </si>
  <si>
    <t>Capacité réservoir (L)</t>
  </si>
  <si>
    <t>Réservoir additionnel ? (Oui/Non)</t>
  </si>
  <si>
    <t>Photo tableau de bord prise ? (Oui/Non)</t>
  </si>
  <si>
    <t>Relevé par / date</t>
  </si>
  <si>
    <t>Remarques</t>
  </si>
  <si>
    <t>EX</t>
  </si>
  <si>
    <t>EXEMPLE — Véhicule léger · Toyota · LAND CRUISER</t>
  </si>
  <si>
    <t>Véhicule léger</t>
  </si>
  <si>
    <t>Toyota</t>
  </si>
  <si>
    <t>KAMOA</t>
  </si>
  <si>
    <t>(exemple)</t>
  </si>
  <si>
    <t>Land Cruiser 79</t>
  </si>
  <si>
    <t>Aiguille 4 graduations (E · ¼ · ½ · ¾ · F)</t>
  </si>
  <si>
    <t>Oui</t>
  </si>
  <si>
    <t>J. Kabeya 23/10/2026</t>
  </si>
  <si>
    <t>Double réservoir 2 × 65 L (valeurs d'exemple, à remplacer par le relevé réel)</t>
  </si>
  <si>
    <t>G01</t>
  </si>
  <si>
    <t>Bus · Tata · BUS 1318</t>
  </si>
  <si>
    <t>Bus</t>
  </si>
  <si>
    <t>Tata</t>
  </si>
  <si>
    <t>KINGAKILA (8), SICOMINES (20)</t>
  </si>
  <si>
    <t>208, 208-B, 218, 219, 220, 221, 223, 0981AC14, 5, 202, 203-B, 206, 207, 209, 210, 7331AB14, 6957AB14, 6510AB14, 2940AF19, 0878AC14, 0879AC14, 0256AC14, 3972AB14, 0165BA01, 1361AN05, 1070AB14, 1069AB14, 1068AB14</t>
  </si>
  <si>
    <t>G02</t>
  </si>
  <si>
    <t>Bus · Tata · BUS</t>
  </si>
  <si>
    <t>CHEMAF (1), KAMOA (2)</t>
  </si>
  <si>
    <t>203, 1, 201</t>
  </si>
  <si>
    <t>G03</t>
  </si>
  <si>
    <t>Bus · Tata · BUS MARCOPOLO</t>
  </si>
  <si>
    <t>MUMI (3)</t>
  </si>
  <si>
    <t>222, 216, 217</t>
  </si>
  <si>
    <t>G04</t>
  </si>
  <si>
    <t>Bus · Yutong · BUS</t>
  </si>
  <si>
    <t>Yutong</t>
  </si>
  <si>
    <t>KINGAKILA (2)</t>
  </si>
  <si>
    <t>214, 215</t>
  </si>
  <si>
    <t>G05</t>
  </si>
  <si>
    <t>Véhicule léger · Toyota · HILUX</t>
  </si>
  <si>
    <t>CHEMAF (1), MUMI (3), KAMOA (4)</t>
  </si>
  <si>
    <t>076, 112, 107, 085, 048, 077, 101, 102</t>
  </si>
  <si>
    <t>G06</t>
  </si>
  <si>
    <t>Véhicule léger · Toyota · LAND CRUISER</t>
  </si>
  <si>
    <t>MUMI (2), KAMOA (4)</t>
  </si>
  <si>
    <t>106, 037, 030, 103, 006, 005</t>
  </si>
  <si>
    <t>G07</t>
  </si>
  <si>
    <t>Véhicule léger · Mahindra · (non précisé)</t>
  </si>
  <si>
    <t>Mahindra</t>
  </si>
  <si>
    <t>CHEMAF (1)</t>
  </si>
  <si>
    <t>052</t>
  </si>
  <si>
    <t>G08</t>
  </si>
  <si>
    <t>Véhicule léger · Mahindra · PICK UP</t>
  </si>
  <si>
    <t>MUMI (1)</t>
  </si>
  <si>
    <t>050</t>
  </si>
  <si>
    <t>G09</t>
  </si>
  <si>
    <t>Camion benne · HOWO · SINOTRUCK</t>
  </si>
  <si>
    <t>Camion benne</t>
  </si>
  <si>
    <t>HOWO</t>
  </si>
  <si>
    <t>KAMOA (8)</t>
  </si>
  <si>
    <t>043, 045, 066, 067, 087, 088, 089, 3236AC14</t>
  </si>
  <si>
    <t>G10</t>
  </si>
  <si>
    <t>Camion benne · HOWO · CAMION</t>
  </si>
  <si>
    <t>MUMI (6)</t>
  </si>
  <si>
    <t>090, 068, 057, 058, 018, 024</t>
  </si>
  <si>
    <t>G11</t>
  </si>
  <si>
    <t>Camion benne · FAW · CAMION</t>
  </si>
  <si>
    <t>FAW</t>
  </si>
  <si>
    <t>078</t>
  </si>
  <si>
    <t>G12</t>
  </si>
  <si>
    <t>Camion citerne · HOWO · WATER BOWSER</t>
  </si>
  <si>
    <t>Camion citerne</t>
  </si>
  <si>
    <t>CHEMAF (2)</t>
  </si>
  <si>
    <t>017, 016</t>
  </si>
  <si>
    <t>G13</t>
  </si>
  <si>
    <t>Camion citerne · HOWO · FUEL BOWSER</t>
  </si>
  <si>
    <t>105</t>
  </si>
  <si>
    <t>G14</t>
  </si>
  <si>
    <t>Tombereau articulé (ADT) · Komatsu · ADT</t>
  </si>
  <si>
    <t>Tombereau articulé (ADT)</t>
  </si>
  <si>
    <t>Komatsu</t>
  </si>
  <si>
    <t>MUMI (5)</t>
  </si>
  <si>
    <t>021, 022, 025, 06, 03</t>
  </si>
  <si>
    <t>G15</t>
  </si>
  <si>
    <t>Tombereau articulé (ADT) · Caterpillar · ADT</t>
  </si>
  <si>
    <t>Caterpillar</t>
  </si>
  <si>
    <t>05</t>
  </si>
  <si>
    <t>G16</t>
  </si>
  <si>
    <t>Pelle sur chenilles · Komatsu · EXCAVATOR</t>
  </si>
  <si>
    <t>Pelle sur chenilles</t>
  </si>
  <si>
    <t>038, 081, 094, 097, 109</t>
  </si>
  <si>
    <t>G17</t>
  </si>
  <si>
    <t>Pelle sur chenilles · Caterpillar · EXCAVATOR</t>
  </si>
  <si>
    <t>MUMI (2)</t>
  </si>
  <si>
    <t>900, 113</t>
  </si>
  <si>
    <t>G18</t>
  </si>
  <si>
    <t>Pelle sur chenilles · Komatsu · ROCK BREAKER</t>
  </si>
  <si>
    <t>027</t>
  </si>
  <si>
    <t>G19</t>
  </si>
  <si>
    <t>Pelle sur chenilles · Volvo · EXCAVATOR</t>
  </si>
  <si>
    <t>Volvo</t>
  </si>
  <si>
    <t>084</t>
  </si>
  <si>
    <t>G20</t>
  </si>
  <si>
    <t>Bulldozer · Caterpillar · DOZER</t>
  </si>
  <si>
    <t>Bulldozer</t>
  </si>
  <si>
    <t>933</t>
  </si>
  <si>
    <t>G21</t>
  </si>
  <si>
    <t>Bulldozer · Komatsu · DOZER</t>
  </si>
  <si>
    <t>036</t>
  </si>
  <si>
    <t>G22</t>
  </si>
  <si>
    <t>Bulldozer · Shantui · DOZER</t>
  </si>
  <si>
    <t>Shantui</t>
  </si>
  <si>
    <t>907</t>
  </si>
  <si>
    <t>G23</t>
  </si>
  <si>
    <t>Chargeuse · XCMG · LOADER</t>
  </si>
  <si>
    <t>Chargeuse</t>
  </si>
  <si>
    <t>XCMG</t>
  </si>
  <si>
    <t>092</t>
  </si>
  <si>
    <t>G24</t>
  </si>
  <si>
    <t>Chargeuse · XCMG · LOADER ZL50GN</t>
  </si>
  <si>
    <t>099</t>
  </si>
  <si>
    <t>G25</t>
  </si>
  <si>
    <t>Niveleuse · Bell · GRADER</t>
  </si>
  <si>
    <t>Niveleuse</t>
  </si>
  <si>
    <t>Bell</t>
  </si>
  <si>
    <t>032</t>
  </si>
  <si>
    <t>G26</t>
  </si>
  <si>
    <t>Compacteur · Bomag · COMPACTOR</t>
  </si>
  <si>
    <t>Compacteur</t>
  </si>
  <si>
    <t>Bomag</t>
  </si>
  <si>
    <t>07-B, 02-B</t>
  </si>
  <si>
    <t>G27</t>
  </si>
  <si>
    <t>Compacteur · Bomag · ROLLER</t>
  </si>
  <si>
    <t>C04</t>
  </si>
  <si>
    <t>G28</t>
  </si>
  <si>
    <t>Chariot élévateur · CHL · FORKLIFT</t>
  </si>
  <si>
    <t>Chariot élévateur</t>
  </si>
  <si>
    <t>CHL</t>
  </si>
  <si>
    <t>MUMI (8)</t>
  </si>
  <si>
    <t>400, 401, 402, 403, 404, 405, 406, 407</t>
  </si>
  <si>
    <t>G29</t>
  </si>
  <si>
    <t>Crible · Finlay · SCREEN</t>
  </si>
  <si>
    <t>Crible</t>
  </si>
  <si>
    <t>Finlay</t>
  </si>
  <si>
    <t>09</t>
  </si>
  <si>
    <t>G30</t>
  </si>
  <si>
    <t>Crible · Striker · SCREEN</t>
  </si>
  <si>
    <t>Striker</t>
  </si>
  <si>
    <t>07</t>
  </si>
  <si>
    <t>G31</t>
  </si>
  <si>
    <t>Crible · Terex · SCREEN</t>
  </si>
  <si>
    <t>Terex</t>
  </si>
  <si>
    <t>010</t>
  </si>
  <si>
    <t>G32</t>
  </si>
  <si>
    <t>Crible · Warrior · SCREEN</t>
  </si>
  <si>
    <t>Warrior</t>
  </si>
  <si>
    <t>08</t>
  </si>
  <si>
    <t>G33</t>
  </si>
  <si>
    <t>Groupe électrogène · Gen-Light · GENERATOR</t>
  </si>
  <si>
    <t>Groupe électrogène</t>
  </si>
  <si>
    <t>Gen-Light</t>
  </si>
  <si>
    <t>02, 05-B</t>
  </si>
  <si>
    <t>Total parc</t>
  </si>
  <si>
    <t>Réf. groupe</t>
  </si>
  <si>
    <t>Code</t>
  </si>
  <si>
    <t>Site</t>
  </si>
  <si>
    <t>Désignation</t>
  </si>
  <si>
    <t>Plaque</t>
  </si>
  <si>
    <t>Châssis</t>
  </si>
  <si>
    <t>Différent du groupe ? (Oui/Non)</t>
  </si>
  <si>
    <t>Type d'indicateur (si différent)</t>
  </si>
  <si>
    <t>Nb graduations (si différent)</t>
  </si>
  <si>
    <t>Capacité réservoir L (si différente)</t>
  </si>
  <si>
    <t>0981AC14</t>
  </si>
  <si>
    <t>KINGAKILA</t>
  </si>
  <si>
    <t>BUS TATA 1318</t>
  </si>
  <si>
    <t>208</t>
  </si>
  <si>
    <t>BUS TATA 1318 208</t>
  </si>
  <si>
    <t>7055AB14</t>
  </si>
  <si>
    <t>MAT462271P5L00896</t>
  </si>
  <si>
    <t>208-B</t>
  </si>
  <si>
    <t>7415AB14</t>
  </si>
  <si>
    <t>MAT462271P5L00899</t>
  </si>
  <si>
    <t>218</t>
  </si>
  <si>
    <t>BUS TATA 1318 218</t>
  </si>
  <si>
    <t>0895AC14</t>
  </si>
  <si>
    <t>219</t>
  </si>
  <si>
    <t>BUS TATA 1318 219</t>
  </si>
  <si>
    <t>0880AC14</t>
  </si>
  <si>
    <t>MAT462271S5L00864</t>
  </si>
  <si>
    <t>220</t>
  </si>
  <si>
    <t>BUS TATA 1318 220</t>
  </si>
  <si>
    <t>0877AC14</t>
  </si>
  <si>
    <t>MAT462271S5L00728</t>
  </si>
  <si>
    <t>221</t>
  </si>
  <si>
    <t>BUS TATA 1318 221</t>
  </si>
  <si>
    <t>0729AC14</t>
  </si>
  <si>
    <t>223</t>
  </si>
  <si>
    <t>BUS TATA 1318 223</t>
  </si>
  <si>
    <t>1143AC14</t>
  </si>
  <si>
    <t>0165BA01</t>
  </si>
  <si>
    <t>SICOMINES</t>
  </si>
  <si>
    <t>MAT42271K0L00324</t>
  </si>
  <si>
    <t>0256AC14</t>
  </si>
  <si>
    <t>MAT42271P5L02066</t>
  </si>
  <si>
    <t>0878AC14</t>
  </si>
  <si>
    <t>0879AC14</t>
  </si>
  <si>
    <t>MAT42271P5L02343</t>
  </si>
  <si>
    <t>1068AB14</t>
  </si>
  <si>
    <t>MAT42271L0L00871</t>
  </si>
  <si>
    <t>1069AB14</t>
  </si>
  <si>
    <t>MAT42271L0L00889</t>
  </si>
  <si>
    <t>1070AB14</t>
  </si>
  <si>
    <t>MAT42271L0L00878</t>
  </si>
  <si>
    <t>1361AN05</t>
  </si>
  <si>
    <t>MAT42271HDL00600</t>
  </si>
  <si>
    <t>202</t>
  </si>
  <si>
    <t>BUS TATA 1318 202</t>
  </si>
  <si>
    <t>6535AB14</t>
  </si>
  <si>
    <t>MAT468271P5OO236</t>
  </si>
  <si>
    <t>203-B</t>
  </si>
  <si>
    <t>BUS TATA 1318 203</t>
  </si>
  <si>
    <t>7043AB14</t>
  </si>
  <si>
    <t>MAT462271P5L00126</t>
  </si>
  <si>
    <t>206</t>
  </si>
  <si>
    <t>BUS TATA 1318 206</t>
  </si>
  <si>
    <t>7284AB14</t>
  </si>
  <si>
    <t>207</t>
  </si>
  <si>
    <t>BUS TATA 1318 207</t>
  </si>
  <si>
    <t>7283AB14</t>
  </si>
  <si>
    <t>MAT462271P5L00778</t>
  </si>
  <si>
    <t>209</t>
  </si>
  <si>
    <t>BUS TATA 1318 209</t>
  </si>
  <si>
    <t>7414AB14</t>
  </si>
  <si>
    <t>MAT462271P5L00897</t>
  </si>
  <si>
    <t>210</t>
  </si>
  <si>
    <t>BUS TATA 1318 210</t>
  </si>
  <si>
    <t>7330AB14</t>
  </si>
  <si>
    <t>MAT462271P5L00688</t>
  </si>
  <si>
    <t>2940AF19</t>
  </si>
  <si>
    <t>3972AB14</t>
  </si>
  <si>
    <t>MAT42271P5L00167</t>
  </si>
  <si>
    <t>5</t>
  </si>
  <si>
    <t>BUS TATA 1318 5</t>
  </si>
  <si>
    <t>1366AN06</t>
  </si>
  <si>
    <t>MAT462271HDL00860</t>
  </si>
  <si>
    <t>6510AB14</t>
  </si>
  <si>
    <t>6957AB14</t>
  </si>
  <si>
    <t>7331AB14</t>
  </si>
  <si>
    <t>MAT462271P5L00670</t>
  </si>
  <si>
    <t>203</t>
  </si>
  <si>
    <t>CHEMAF</t>
  </si>
  <si>
    <t>BUS TATA 203</t>
  </si>
  <si>
    <t>1</t>
  </si>
  <si>
    <t>BUS TATA 1</t>
  </si>
  <si>
    <t>MAT462271HDL00600</t>
  </si>
  <si>
    <t>201</t>
  </si>
  <si>
    <t>BUS TATA 201</t>
  </si>
  <si>
    <t>462271EO1097</t>
  </si>
  <si>
    <t>216</t>
  </si>
  <si>
    <t>MUMI</t>
  </si>
  <si>
    <t>BUS MARCOPOLO TATA 216</t>
  </si>
  <si>
    <t>9096AB14</t>
  </si>
  <si>
    <t>MAT494051P8L00500</t>
  </si>
  <si>
    <t>217</t>
  </si>
  <si>
    <t>BUS MARCOPOLO TATA 217</t>
  </si>
  <si>
    <t>9445AB14</t>
  </si>
  <si>
    <t>MAT494051P7L00710</t>
  </si>
  <si>
    <t>222</t>
  </si>
  <si>
    <t>BUS MARCOPOLO TATA 222</t>
  </si>
  <si>
    <t>IT0095</t>
  </si>
  <si>
    <t>MAT494051R8L0095</t>
  </si>
  <si>
    <t>214</t>
  </si>
  <si>
    <t>BUS YUTONG 214</t>
  </si>
  <si>
    <t>6109AB14</t>
  </si>
  <si>
    <t>LZYTATE22N1007059</t>
  </si>
  <si>
    <t>215</t>
  </si>
  <si>
    <t>BUS YUTONG 215</t>
  </si>
  <si>
    <t>6107AB15</t>
  </si>
  <si>
    <t>LZYTATE22N1007057</t>
  </si>
  <si>
    <t>076</t>
  </si>
  <si>
    <t>HILUX TOYOTA 076</t>
  </si>
  <si>
    <t>8128AB14</t>
  </si>
  <si>
    <t>AHTKK8CD900684789</t>
  </si>
  <si>
    <t>048</t>
  </si>
  <si>
    <t>HILUX TOYOTA 048</t>
  </si>
  <si>
    <t>7060AB14</t>
  </si>
  <si>
    <t>ANTDK9CD200977125</t>
  </si>
  <si>
    <t>077</t>
  </si>
  <si>
    <t>HILUX TOYOTA 077</t>
  </si>
  <si>
    <t>7727AB14</t>
  </si>
  <si>
    <t>AHTKK8CD100685631</t>
  </si>
  <si>
    <t>101</t>
  </si>
  <si>
    <t>HILUX TOYOTA 101</t>
  </si>
  <si>
    <t>7062AB14</t>
  </si>
  <si>
    <t>AHTDK9CDX00977308</t>
  </si>
  <si>
    <t>102</t>
  </si>
  <si>
    <t>HILUX TOYOTA 102</t>
  </si>
  <si>
    <t>9801AB14</t>
  </si>
  <si>
    <t>AHTDK9CD200977397</t>
  </si>
  <si>
    <t>085</t>
  </si>
  <si>
    <t>HILUX TOYOTA 085</t>
  </si>
  <si>
    <t>5904AB14</t>
  </si>
  <si>
    <t>AHTDK9CD400975554</t>
  </si>
  <si>
    <t>107</t>
  </si>
  <si>
    <t>HILUX TOYOTA 107</t>
  </si>
  <si>
    <t>5905AB14</t>
  </si>
  <si>
    <t>AHTDK9CD600975538</t>
  </si>
  <si>
    <t>112</t>
  </si>
  <si>
    <t>HILUX TOYOTA 112</t>
  </si>
  <si>
    <t>7918AB14</t>
  </si>
  <si>
    <t>AHTKK8CD600685527</t>
  </si>
  <si>
    <t>005</t>
  </si>
  <si>
    <t>LAND CRUISER TOYOTA 005</t>
  </si>
  <si>
    <t>1761AJ05</t>
  </si>
  <si>
    <t>JTFBB71JXE4201558</t>
  </si>
  <si>
    <t>006</t>
  </si>
  <si>
    <t>LAND CRUISER TOYOTA 006</t>
  </si>
  <si>
    <t>3717AN05</t>
  </si>
  <si>
    <t>JTERB71J400064121</t>
  </si>
  <si>
    <t>030</t>
  </si>
  <si>
    <t>LAND CRUISER TOYOTA 030</t>
  </si>
  <si>
    <t>5982AB04</t>
  </si>
  <si>
    <t>JTEEB71J90F019123</t>
  </si>
  <si>
    <t>103</t>
  </si>
  <si>
    <t>LAND CRUISER TOYOTA 103</t>
  </si>
  <si>
    <t>2003AT05</t>
  </si>
  <si>
    <t>JTENB712NB0335</t>
  </si>
  <si>
    <t>037</t>
  </si>
  <si>
    <t>LAND CRUISER TOYOTA 037</t>
  </si>
  <si>
    <t>4400AA14</t>
  </si>
  <si>
    <t>JTERB71J000062222</t>
  </si>
  <si>
    <t>106</t>
  </si>
  <si>
    <t>LAND CRUISER TOYOTA 106</t>
  </si>
  <si>
    <t>7239AN05</t>
  </si>
  <si>
    <t>JTERB71J40075329</t>
  </si>
  <si>
    <t>MAHINDRA 052</t>
  </si>
  <si>
    <t>6941AB14</t>
  </si>
  <si>
    <t>MA1RD4VP2038654</t>
  </si>
  <si>
    <t>PICK UP MAHINDRA 050</t>
  </si>
  <si>
    <t>7113AB14</t>
  </si>
  <si>
    <t>MA1RD4VK2P2C32957</t>
  </si>
  <si>
    <t>043</t>
  </si>
  <si>
    <t>HOWO SINOTRUCK 043</t>
  </si>
  <si>
    <t>3290AC22</t>
  </si>
  <si>
    <t>LZZ5EXSC0JN436133</t>
  </si>
  <si>
    <t>045</t>
  </si>
  <si>
    <t>HOWO SINOTRUCK 045</t>
  </si>
  <si>
    <t>3762AZ01</t>
  </si>
  <si>
    <t>LZZ5EXSE7JN389815</t>
  </si>
  <si>
    <t>066</t>
  </si>
  <si>
    <t>HOWO SINOTRUCK 066</t>
  </si>
  <si>
    <t>3063AB14</t>
  </si>
  <si>
    <t>LZZ5EXSE2MB073857</t>
  </si>
  <si>
    <t>067</t>
  </si>
  <si>
    <t>HOWO SINOTRUCK 067</t>
  </si>
  <si>
    <t>3064AB14</t>
  </si>
  <si>
    <t>LZZ5EXSEXMB073863</t>
  </si>
  <si>
    <t>087</t>
  </si>
  <si>
    <t>HOWO SINOTRUCK 087</t>
  </si>
  <si>
    <t>7086BJ01</t>
  </si>
  <si>
    <t>LZZ5EXSC3KN50972</t>
  </si>
  <si>
    <t>088</t>
  </si>
  <si>
    <t>HOWO SINOTRUCK 088</t>
  </si>
  <si>
    <t>4282BK01</t>
  </si>
  <si>
    <t>LZZ5EXSF2KN509787</t>
  </si>
  <si>
    <t>089</t>
  </si>
  <si>
    <t>HOWO SINOTRUCK 089</t>
  </si>
  <si>
    <t>4279BK01</t>
  </si>
  <si>
    <t>LZZ5EXSF6KN509789</t>
  </si>
  <si>
    <t>3236AC14</t>
  </si>
  <si>
    <t>HOWO SINOTRUCK</t>
  </si>
  <si>
    <t>LEZAD1EC3RF127194</t>
  </si>
  <si>
    <t>018</t>
  </si>
  <si>
    <t>CAMION HOWO 018</t>
  </si>
  <si>
    <t>2414AM05</t>
  </si>
  <si>
    <t>LZZ5BLNF2HW232395</t>
  </si>
  <si>
    <t>024</t>
  </si>
  <si>
    <t>CAMION HOWO 024</t>
  </si>
  <si>
    <t>8816AA14</t>
  </si>
  <si>
    <t>LZZ5BLNF5JD407689</t>
  </si>
  <si>
    <t>057</t>
  </si>
  <si>
    <t>CAMION HOWO 057</t>
  </si>
  <si>
    <t>26667AB</t>
  </si>
  <si>
    <t>LZZ5ELSD9MN772790</t>
  </si>
  <si>
    <t>058</t>
  </si>
  <si>
    <t>CAMION HOWO 058</t>
  </si>
  <si>
    <t>2669AB14</t>
  </si>
  <si>
    <t>LZZ5ELSD2MN772792</t>
  </si>
  <si>
    <t>068</t>
  </si>
  <si>
    <t>CAMION HOWO 068</t>
  </si>
  <si>
    <t>0153AC14</t>
  </si>
  <si>
    <t>LZZ5ELSD8MN887509</t>
  </si>
  <si>
    <t>090</t>
  </si>
  <si>
    <t>CAMION HOWO 090</t>
  </si>
  <si>
    <t>2468AB14</t>
  </si>
  <si>
    <t>LZZ5EXSE3JN389827</t>
  </si>
  <si>
    <t>CAMION FAW 078</t>
  </si>
  <si>
    <t>3072AB04</t>
  </si>
  <si>
    <t>LFNFVXMU3MADA2748</t>
  </si>
  <si>
    <t>016</t>
  </si>
  <si>
    <t>WATER BOWSER HOWO 016</t>
  </si>
  <si>
    <t>3567AK05</t>
  </si>
  <si>
    <t>LZZ5BLSF1FN079600</t>
  </si>
  <si>
    <t>017</t>
  </si>
  <si>
    <t>WATER BOWSER HOWO 017</t>
  </si>
  <si>
    <t>4397AM05</t>
  </si>
  <si>
    <t>LZZ5BLSF9GN192244</t>
  </si>
  <si>
    <t>FUEL BOWSER HOWO 105</t>
  </si>
  <si>
    <t>6465AA24</t>
  </si>
  <si>
    <t>LZZ5BLSF2RN279972</t>
  </si>
  <si>
    <t>021</t>
  </si>
  <si>
    <t>ADT KOMATSU 021</t>
  </si>
  <si>
    <t>KMTHM013CRD009670</t>
  </si>
  <si>
    <t>022</t>
  </si>
  <si>
    <t>ADT KOMATSU 022</t>
  </si>
  <si>
    <t>KMTHM013PRD009669</t>
  </si>
  <si>
    <t>025</t>
  </si>
  <si>
    <t>ADT KOMATSU 025</t>
  </si>
  <si>
    <t>KMTHM013EPD009504</t>
  </si>
  <si>
    <t>03</t>
  </si>
  <si>
    <t>ADT KOMATSU 03</t>
  </si>
  <si>
    <t>KMTHM013KND009165</t>
  </si>
  <si>
    <t>06</t>
  </si>
  <si>
    <t>ADT KOMATSU 06</t>
  </si>
  <si>
    <t>KMTHM013KRD009673</t>
  </si>
  <si>
    <t>ADT CAT 05</t>
  </si>
  <si>
    <t>CAT00745A3F601060</t>
  </si>
  <si>
    <t>038</t>
  </si>
  <si>
    <t>EXCAVATOR KOMATSU 038</t>
  </si>
  <si>
    <t>IT1617</t>
  </si>
  <si>
    <t>KMTPC247CJ081617</t>
  </si>
  <si>
    <t>081</t>
  </si>
  <si>
    <t>EXCAVATOR KOMATSU 081</t>
  </si>
  <si>
    <t>KMTPC284ELC100121</t>
  </si>
  <si>
    <t>094</t>
  </si>
  <si>
    <t>EXCAVATOR KOMATSU 094</t>
  </si>
  <si>
    <t>KMTPC247ENC083565</t>
  </si>
  <si>
    <t>097</t>
  </si>
  <si>
    <t>EXCAVATOR KOMATSU 097</t>
  </si>
  <si>
    <t>KMTPC284CLC00122</t>
  </si>
  <si>
    <t>109</t>
  </si>
  <si>
    <t>EXCAVATOR KOMATSU 109</t>
  </si>
  <si>
    <t>P4BI0014</t>
  </si>
  <si>
    <t>113</t>
  </si>
  <si>
    <t>EXCAVATOR CAT 113</t>
  </si>
  <si>
    <t>CAT00395JSGD40070</t>
  </si>
  <si>
    <t>900</t>
  </si>
  <si>
    <t>EXCAVATOR CAT 900</t>
  </si>
  <si>
    <t>CAT0390FKGAY20180</t>
  </si>
  <si>
    <t>ROCK BREAKER KOMATSU 027</t>
  </si>
  <si>
    <t>IT2397</t>
  </si>
  <si>
    <t>KMTPC247TLC082397</t>
  </si>
  <si>
    <t>EXCAVATOR VOLVO 084</t>
  </si>
  <si>
    <t>VCEC250DK00280513</t>
  </si>
  <si>
    <t>DOZER CAT 933</t>
  </si>
  <si>
    <t>CATCS583ADAJ00396</t>
  </si>
  <si>
    <t>DOZER KOMATSU 036</t>
  </si>
  <si>
    <t>KMT0D105PJC087532</t>
  </si>
  <si>
    <t>DOZER SHANTUI 907</t>
  </si>
  <si>
    <t>CHSD32AALN1007950</t>
  </si>
  <si>
    <t>LOADER XCMG 092</t>
  </si>
  <si>
    <t>XUG0050GJPCB00056</t>
  </si>
  <si>
    <t>LOADER ZL50GN 099</t>
  </si>
  <si>
    <t>XUG0050GHMCB24196</t>
  </si>
  <si>
    <t>GRADER BELL 032</t>
  </si>
  <si>
    <t>6902AA14</t>
  </si>
  <si>
    <t>1DW770GXKBC639971</t>
  </si>
  <si>
    <t>02-B</t>
  </si>
  <si>
    <t>COMPACTOR BOMAG 02</t>
  </si>
  <si>
    <t>961582991067</t>
  </si>
  <si>
    <t>07-B</t>
  </si>
  <si>
    <t>COMPACTOR BOMAG 07</t>
  </si>
  <si>
    <t>101582432887</t>
  </si>
  <si>
    <t>ROLLER BOMAG C04</t>
  </si>
  <si>
    <t>961582991150</t>
  </si>
  <si>
    <t>400</t>
  </si>
  <si>
    <t>FORKLIFT CHL 400</t>
  </si>
  <si>
    <t>010302S5309</t>
  </si>
  <si>
    <t>401</t>
  </si>
  <si>
    <t>FORKLIFT CHL 401</t>
  </si>
  <si>
    <t>010302S5308</t>
  </si>
  <si>
    <t>402</t>
  </si>
  <si>
    <t>FORKLIFT CHL 402</t>
  </si>
  <si>
    <t>010302R9353</t>
  </si>
  <si>
    <t>403</t>
  </si>
  <si>
    <t>FORKLIFT CHL 403</t>
  </si>
  <si>
    <t>010302R9352</t>
  </si>
  <si>
    <t>404</t>
  </si>
  <si>
    <t>FORKLIFT CHL 404</t>
  </si>
  <si>
    <t>010302R9355</t>
  </si>
  <si>
    <t>405</t>
  </si>
  <si>
    <t>FORKLIFT CHL 405</t>
  </si>
  <si>
    <t>010302E9356</t>
  </si>
  <si>
    <t>406</t>
  </si>
  <si>
    <t>FORKLIFT CHL 406</t>
  </si>
  <si>
    <t>010302T8967</t>
  </si>
  <si>
    <t>407</t>
  </si>
  <si>
    <t>FORKLIFT CHL 407</t>
  </si>
  <si>
    <t>010302R9357</t>
  </si>
  <si>
    <t>SCREEN FINLAY 09</t>
  </si>
  <si>
    <t>SCREEN STRIKER 07</t>
  </si>
  <si>
    <t>SCREEN TEREX 010</t>
  </si>
  <si>
    <t>SCREEN WARRIOR 08</t>
  </si>
  <si>
    <t>02</t>
  </si>
  <si>
    <t>GENERATOR GEN-LIGHT 02</t>
  </si>
  <si>
    <t>05-B</t>
  </si>
  <si>
    <t>GENERATOR GEN-LIGHT 05</t>
  </si>
  <si>
    <t>Types d'indicateur (déjà créés dans PerfectMaint, sauf « Autre »)</t>
  </si>
  <si>
    <t>Aiguille 2 graduations (E · ½ · F)</t>
  </si>
  <si>
    <t>Aiguille 8 graduations</t>
  </si>
  <si>
    <t>Barres 8 segments</t>
  </si>
  <si>
    <t>Barres 10 segments</t>
  </si>
  <si>
    <t>Affichage numérique (%)</t>
  </si>
  <si>
    <t>Autre (préciser en remarque)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</si>
</sst>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6"/>
      <name val="Arial"/>
    </font>
    <font>
      <i/>
      <color rgb="FF5B6573"/>
      <sz val="10"/>
      <name val="Arial"/>
    </font>
    <font>
      <color rgb="FF1B2430"/>
      <sz val="10"/>
      <name val="Arial"/>
    </font>
    <font>
      <b/>
      <color rgb="FF1F4E79"/>
      <sz val="12"/>
      <name val="Arial"/>
    </font>
    <font>
      <b/>
      <color rgb="FF1F4E79"/>
      <sz val="13"/>
      <name val="Arial"/>
    </font>
    <font>
      <i/>
      <color rgb="FF5B6573"/>
      <sz val="9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EF4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4CAD2"/>
      </left>
      <right style="thin">
        <color rgb="FFC4CAD2"/>
      </right>
      <top style="thin">
        <color rgb="FFC4CAD2"/>
      </top>
      <bottom style="thin">
        <color rgb="FFC4CAD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1" xfId="0" applyFill="1" applyBorder="1"/>
    <xf numFmtId="0" fontId="0" fillId="3" borderId="1" xfId="0" applyFill="1" applyBorder="1"/>
    <xf numFmtId="0" fontId="5" fillId="0" borderId="0" xfId="0" applyFont="1"/>
    <xf numFmtId="0" fontId="6" fillId="0" borderId="0" xfId="0" applyFont="1"/>
    <xf numFmtId="0" fontId="7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1" fontId="9" fillId="2" borderId="1" xfId="0" applyNumberFormat="1" applyFont="1" applyFill="1" applyBorder="1" applyAlignment="1">
      <alignment vertical="top" wrapText="1"/>
    </xf>
    <xf numFmtId="3" fontId="9" fillId="2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49" fontId="8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B24"/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4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6</v>
      </c>
    </row>
    <row r="8" spans="2:2" x14ac:dyDescent="0.25">
      <c r="B8" s="3" t="s">
        <v>2</v>
      </c>
    </row>
    <row r="9" spans="2:2" x14ac:dyDescent="0.25">
      <c r="B9" s="4" t="s">
        <v>7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s="3" t="s">
        <v>10</v>
      </c>
    </row>
    <row r="13" spans="2:2" x14ac:dyDescent="0.25">
      <c r="B13" s="3" t="s">
        <v>11</v>
      </c>
    </row>
    <row r="14" spans="2:2" x14ac:dyDescent="0.25">
      <c r="B14" s="3" t="s">
        <v>12</v>
      </c>
    </row>
    <row r="15" spans="2:2" x14ac:dyDescent="0.25">
      <c r="B15" s="3" t="s">
        <v>13</v>
      </c>
    </row>
    <row r="16" spans="2:2" x14ac:dyDescent="0.25">
      <c r="B16" s="3" t="s">
        <v>14</v>
      </c>
    </row>
    <row r="17" spans="2:2" x14ac:dyDescent="0.25">
      <c r="B17" s="3" t="s">
        <v>2</v>
      </c>
    </row>
    <row r="18" spans="2:2" x14ac:dyDescent="0.25">
      <c r="B18" s="4" t="s">
        <v>15</v>
      </c>
    </row>
    <row r="19" spans="2:2" x14ac:dyDescent="0.25">
      <c r="B19" s="3" t="s">
        <v>16</v>
      </c>
    </row>
    <row r="20" spans="2:2" x14ac:dyDescent="0.25">
      <c r="B20" s="3" t="s">
        <v>17</v>
      </c>
    </row>
    <row r="21" spans="2:2" x14ac:dyDescent="0.25">
      <c r="B21" s="3" t="s">
        <v>2</v>
      </c>
    </row>
    <row r="22" spans="2:2" x14ac:dyDescent="0.25">
      <c r="B22" s="4" t="s">
        <v>18</v>
      </c>
    </row>
    <row r="23" spans="1:2" x14ac:dyDescent="0.25">
      <c r="A23" s="5"/>
      <c r="B23" s="3" t="s">
        <v>19</v>
      </c>
    </row>
    <row r="24" spans="1:2" x14ac:dyDescent="0.25">
      <c r="A24" s="6"/>
      <c r="B24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54708"/>
  </sheetPr>
  <dimension ref="A1:O38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22" customWidth="1"/>
    <col min="4" max="4" width="13" customWidth="1"/>
    <col min="6" max="6" width="26" customWidth="1"/>
    <col min="7" max="7" width="40" customWidth="1"/>
    <col min="8" max="8" width="22" customWidth="1"/>
    <col min="9" max="9" width="34" customWidth="1"/>
    <col min="10" max="10" width="11" customWidth="1"/>
    <col min="11" max="11" width="13" customWidth="1"/>
    <col min="12" max="13" width="14" customWidth="1"/>
    <col min="14" max="14" width="20" customWidth="1"/>
    <col min="15" max="15" width="34" customWidth="1"/>
  </cols>
  <sheetData>
    <row r="1" spans="1:1" x14ac:dyDescent="0.25">
      <c r="A1" s="7" t="s">
        <v>21</v>
      </c>
    </row>
    <row r="2" spans="1:1" x14ac:dyDescent="0.25">
      <c r="A2" s="8" t="s">
        <v>22</v>
      </c>
    </row>
    <row r="3" ht="32" customHeight="1" spans="1:15" x14ac:dyDescent="0.25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  <c r="O3" s="9" t="s">
        <v>37</v>
      </c>
    </row>
    <row r="4" spans="1:15" x14ac:dyDescent="0.25">
      <c r="A4" s="10" t="s">
        <v>38</v>
      </c>
      <c r="B4" s="10" t="s">
        <v>39</v>
      </c>
      <c r="C4" s="10" t="s">
        <v>40</v>
      </c>
      <c r="D4" s="10" t="s">
        <v>41</v>
      </c>
      <c r="E4" s="10"/>
      <c r="F4" s="10" t="s">
        <v>42</v>
      </c>
      <c r="G4" s="10" t="s">
        <v>43</v>
      </c>
      <c r="H4" s="10" t="s">
        <v>44</v>
      </c>
      <c r="I4" s="10" t="s">
        <v>45</v>
      </c>
      <c r="J4" s="10">
        <v>4</v>
      </c>
      <c r="K4" s="10">
        <v>130</v>
      </c>
      <c r="L4" s="10" t="s">
        <v>46</v>
      </c>
      <c r="M4" s="10" t="s">
        <v>46</v>
      </c>
      <c r="N4" s="10" t="s">
        <v>47</v>
      </c>
      <c r="O4" s="10" t="s">
        <v>48</v>
      </c>
    </row>
    <row r="5" spans="1:15" x14ac:dyDescent="0.25">
      <c r="A5" s="11" t="s">
        <v>49</v>
      </c>
      <c r="B5" s="12" t="s">
        <v>50</v>
      </c>
      <c r="C5" s="12" t="s">
        <v>51</v>
      </c>
      <c r="D5" s="12" t="s">
        <v>52</v>
      </c>
      <c r="E5" s="13">
        <f>COUNTIF(Engins!$A:$A,A5)</f>
        <v>28</v>
      </c>
      <c r="F5" s="14" t="s">
        <v>53</v>
      </c>
      <c r="G5" s="14" t="s">
        <v>54</v>
      </c>
      <c r="H5" s="15"/>
      <c r="I5" s="15"/>
      <c r="J5" s="16"/>
      <c r="K5" s="17"/>
      <c r="L5" s="15"/>
      <c r="M5" s="15"/>
      <c r="N5" s="15"/>
      <c r="O5" s="15"/>
    </row>
    <row r="6" spans="1:15" x14ac:dyDescent="0.25">
      <c r="A6" s="11" t="s">
        <v>55</v>
      </c>
      <c r="B6" s="12" t="s">
        <v>56</v>
      </c>
      <c r="C6" s="12" t="s">
        <v>51</v>
      </c>
      <c r="D6" s="12" t="s">
        <v>52</v>
      </c>
      <c r="E6" s="13">
        <f>COUNTIF(Engins!$A:$A,A6)</f>
        <v>3</v>
      </c>
      <c r="F6" s="14" t="s">
        <v>57</v>
      </c>
      <c r="G6" s="14" t="s">
        <v>58</v>
      </c>
      <c r="H6" s="15"/>
      <c r="I6" s="15"/>
      <c r="J6" s="16"/>
      <c r="K6" s="17"/>
      <c r="L6" s="15"/>
      <c r="M6" s="15"/>
      <c r="N6" s="15"/>
      <c r="O6" s="15"/>
    </row>
    <row r="7" spans="1:15" x14ac:dyDescent="0.25">
      <c r="A7" s="11" t="s">
        <v>59</v>
      </c>
      <c r="B7" s="12" t="s">
        <v>60</v>
      </c>
      <c r="C7" s="12" t="s">
        <v>51</v>
      </c>
      <c r="D7" s="12" t="s">
        <v>52</v>
      </c>
      <c r="E7" s="13">
        <f>COUNTIF(Engins!$A:$A,A7)</f>
        <v>3</v>
      </c>
      <c r="F7" s="14" t="s">
        <v>61</v>
      </c>
      <c r="G7" s="14" t="s">
        <v>62</v>
      </c>
      <c r="H7" s="15"/>
      <c r="I7" s="15"/>
      <c r="J7" s="16"/>
      <c r="K7" s="17"/>
      <c r="L7" s="15"/>
      <c r="M7" s="15"/>
      <c r="N7" s="15"/>
      <c r="O7" s="15"/>
    </row>
    <row r="8" spans="1:15" x14ac:dyDescent="0.25">
      <c r="A8" s="11" t="s">
        <v>63</v>
      </c>
      <c r="B8" s="12" t="s">
        <v>64</v>
      </c>
      <c r="C8" s="12" t="s">
        <v>51</v>
      </c>
      <c r="D8" s="12" t="s">
        <v>65</v>
      </c>
      <c r="E8" s="13">
        <f>COUNTIF(Engins!$A:$A,A8)</f>
        <v>2</v>
      </c>
      <c r="F8" s="14" t="s">
        <v>66</v>
      </c>
      <c r="G8" s="14" t="s">
        <v>67</v>
      </c>
      <c r="H8" s="15"/>
      <c r="I8" s="15"/>
      <c r="J8" s="16"/>
      <c r="K8" s="17"/>
      <c r="L8" s="15"/>
      <c r="M8" s="15"/>
      <c r="N8" s="15"/>
      <c r="O8" s="15"/>
    </row>
    <row r="9" spans="1:15" x14ac:dyDescent="0.25">
      <c r="A9" s="11" t="s">
        <v>68</v>
      </c>
      <c r="B9" s="12" t="s">
        <v>69</v>
      </c>
      <c r="C9" s="12" t="s">
        <v>40</v>
      </c>
      <c r="D9" s="12" t="s">
        <v>41</v>
      </c>
      <c r="E9" s="13">
        <f>COUNTIF(Engins!$A:$A,A9)</f>
        <v>8</v>
      </c>
      <c r="F9" s="14" t="s">
        <v>70</v>
      </c>
      <c r="G9" s="14" t="s">
        <v>71</v>
      </c>
      <c r="H9" s="15"/>
      <c r="I9" s="15"/>
      <c r="J9" s="16"/>
      <c r="K9" s="17"/>
      <c r="L9" s="15"/>
      <c r="M9" s="15"/>
      <c r="N9" s="15"/>
      <c r="O9" s="15"/>
    </row>
    <row r="10" spans="1:15" x14ac:dyDescent="0.25">
      <c r="A10" s="11" t="s">
        <v>72</v>
      </c>
      <c r="B10" s="12" t="s">
        <v>73</v>
      </c>
      <c r="C10" s="12" t="s">
        <v>40</v>
      </c>
      <c r="D10" s="12" t="s">
        <v>41</v>
      </c>
      <c r="E10" s="13">
        <f>COUNTIF(Engins!$A:$A,A10)</f>
        <v>6</v>
      </c>
      <c r="F10" s="14" t="s">
        <v>74</v>
      </c>
      <c r="G10" s="14" t="s">
        <v>75</v>
      </c>
      <c r="H10" s="15"/>
      <c r="I10" s="15"/>
      <c r="J10" s="16"/>
      <c r="K10" s="17"/>
      <c r="L10" s="15"/>
      <c r="M10" s="15"/>
      <c r="N10" s="15"/>
      <c r="O10" s="15"/>
    </row>
    <row r="11" spans="1:15" x14ac:dyDescent="0.25">
      <c r="A11" s="11" t="s">
        <v>76</v>
      </c>
      <c r="B11" s="12" t="s">
        <v>77</v>
      </c>
      <c r="C11" s="12" t="s">
        <v>40</v>
      </c>
      <c r="D11" s="12" t="s">
        <v>78</v>
      </c>
      <c r="E11" s="13">
        <f>COUNTIF(Engins!$A:$A,A11)</f>
        <v>1</v>
      </c>
      <c r="F11" s="14" t="s">
        <v>79</v>
      </c>
      <c r="G11" s="14" t="s">
        <v>80</v>
      </c>
      <c r="H11" s="15"/>
      <c r="I11" s="15"/>
      <c r="J11" s="16"/>
      <c r="K11" s="17"/>
      <c r="L11" s="15"/>
      <c r="M11" s="15"/>
      <c r="N11" s="15"/>
      <c r="O11" s="15"/>
    </row>
    <row r="12" spans="1:15" x14ac:dyDescent="0.25">
      <c r="A12" s="11" t="s">
        <v>81</v>
      </c>
      <c r="B12" s="12" t="s">
        <v>82</v>
      </c>
      <c r="C12" s="12" t="s">
        <v>40</v>
      </c>
      <c r="D12" s="12" t="s">
        <v>78</v>
      </c>
      <c r="E12" s="13">
        <f>COUNTIF(Engins!$A:$A,A12)</f>
        <v>1</v>
      </c>
      <c r="F12" s="14" t="s">
        <v>83</v>
      </c>
      <c r="G12" s="14" t="s">
        <v>84</v>
      </c>
      <c r="H12" s="15"/>
      <c r="I12" s="15"/>
      <c r="J12" s="16"/>
      <c r="K12" s="17"/>
      <c r="L12" s="15"/>
      <c r="M12" s="15"/>
      <c r="N12" s="15"/>
      <c r="O12" s="15"/>
    </row>
    <row r="13" spans="1:15" x14ac:dyDescent="0.25">
      <c r="A13" s="11" t="s">
        <v>85</v>
      </c>
      <c r="B13" s="12" t="s">
        <v>86</v>
      </c>
      <c r="C13" s="12" t="s">
        <v>87</v>
      </c>
      <c r="D13" s="12" t="s">
        <v>88</v>
      </c>
      <c r="E13" s="13">
        <f>COUNTIF(Engins!$A:$A,A13)</f>
        <v>8</v>
      </c>
      <c r="F13" s="14" t="s">
        <v>89</v>
      </c>
      <c r="G13" s="14" t="s">
        <v>90</v>
      </c>
      <c r="H13" s="15"/>
      <c r="I13" s="15"/>
      <c r="J13" s="16"/>
      <c r="K13" s="17"/>
      <c r="L13" s="15"/>
      <c r="M13" s="15"/>
      <c r="N13" s="15"/>
      <c r="O13" s="15"/>
    </row>
    <row r="14" spans="1:15" x14ac:dyDescent="0.25">
      <c r="A14" s="11" t="s">
        <v>91</v>
      </c>
      <c r="B14" s="12" t="s">
        <v>92</v>
      </c>
      <c r="C14" s="12" t="s">
        <v>87</v>
      </c>
      <c r="D14" s="12" t="s">
        <v>88</v>
      </c>
      <c r="E14" s="13">
        <f>COUNTIF(Engins!$A:$A,A14)</f>
        <v>6</v>
      </c>
      <c r="F14" s="14" t="s">
        <v>93</v>
      </c>
      <c r="G14" s="14" t="s">
        <v>94</v>
      </c>
      <c r="H14" s="15"/>
      <c r="I14" s="15"/>
      <c r="J14" s="16"/>
      <c r="K14" s="17"/>
      <c r="L14" s="15"/>
      <c r="M14" s="15"/>
      <c r="N14" s="15"/>
      <c r="O14" s="15"/>
    </row>
    <row r="15" spans="1:15" x14ac:dyDescent="0.25">
      <c r="A15" s="11" t="s">
        <v>95</v>
      </c>
      <c r="B15" s="12" t="s">
        <v>96</v>
      </c>
      <c r="C15" s="12" t="s">
        <v>87</v>
      </c>
      <c r="D15" s="12" t="s">
        <v>97</v>
      </c>
      <c r="E15" s="13">
        <f>COUNTIF(Engins!$A:$A,A15)</f>
        <v>1</v>
      </c>
      <c r="F15" s="14" t="s">
        <v>83</v>
      </c>
      <c r="G15" s="14" t="s">
        <v>98</v>
      </c>
      <c r="H15" s="15"/>
      <c r="I15" s="15"/>
      <c r="J15" s="16"/>
      <c r="K15" s="17"/>
      <c r="L15" s="15"/>
      <c r="M15" s="15"/>
      <c r="N15" s="15"/>
      <c r="O15" s="15"/>
    </row>
    <row r="16" spans="1:15" x14ac:dyDescent="0.25">
      <c r="A16" s="11" t="s">
        <v>99</v>
      </c>
      <c r="B16" s="12" t="s">
        <v>100</v>
      </c>
      <c r="C16" s="12" t="s">
        <v>101</v>
      </c>
      <c r="D16" s="12" t="s">
        <v>88</v>
      </c>
      <c r="E16" s="13">
        <f>COUNTIF(Engins!$A:$A,A16)</f>
        <v>2</v>
      </c>
      <c r="F16" s="14" t="s">
        <v>102</v>
      </c>
      <c r="G16" s="14" t="s">
        <v>103</v>
      </c>
      <c r="H16" s="15"/>
      <c r="I16" s="15"/>
      <c r="J16" s="16"/>
      <c r="K16" s="17"/>
      <c r="L16" s="15"/>
      <c r="M16" s="15"/>
      <c r="N16" s="15"/>
      <c r="O16" s="15"/>
    </row>
    <row r="17" spans="1:15" x14ac:dyDescent="0.25">
      <c r="A17" s="11" t="s">
        <v>104</v>
      </c>
      <c r="B17" s="12" t="s">
        <v>105</v>
      </c>
      <c r="C17" s="12" t="s">
        <v>101</v>
      </c>
      <c r="D17" s="12" t="s">
        <v>88</v>
      </c>
      <c r="E17" s="13">
        <f>COUNTIF(Engins!$A:$A,A17)</f>
        <v>1</v>
      </c>
      <c r="F17" s="14" t="s">
        <v>79</v>
      </c>
      <c r="G17" s="14" t="s">
        <v>106</v>
      </c>
      <c r="H17" s="15"/>
      <c r="I17" s="15"/>
      <c r="J17" s="16"/>
      <c r="K17" s="17"/>
      <c r="L17" s="15"/>
      <c r="M17" s="15"/>
      <c r="N17" s="15"/>
      <c r="O17" s="15"/>
    </row>
    <row r="18" spans="1:15" x14ac:dyDescent="0.25">
      <c r="A18" s="11" t="s">
        <v>107</v>
      </c>
      <c r="B18" s="12" t="s">
        <v>108</v>
      </c>
      <c r="C18" s="12" t="s">
        <v>109</v>
      </c>
      <c r="D18" s="12" t="s">
        <v>110</v>
      </c>
      <c r="E18" s="13">
        <f>COUNTIF(Engins!$A:$A,A18)</f>
        <v>5</v>
      </c>
      <c r="F18" s="14" t="s">
        <v>111</v>
      </c>
      <c r="G18" s="14" t="s">
        <v>112</v>
      </c>
      <c r="H18" s="15"/>
      <c r="I18" s="15"/>
      <c r="J18" s="16"/>
      <c r="K18" s="17"/>
      <c r="L18" s="15"/>
      <c r="M18" s="15"/>
      <c r="N18" s="15"/>
      <c r="O18" s="15"/>
    </row>
    <row r="19" spans="1:15" x14ac:dyDescent="0.25">
      <c r="A19" s="11" t="s">
        <v>113</v>
      </c>
      <c r="B19" s="12" t="s">
        <v>114</v>
      </c>
      <c r="C19" s="12" t="s">
        <v>109</v>
      </c>
      <c r="D19" s="12" t="s">
        <v>115</v>
      </c>
      <c r="E19" s="13">
        <f>COUNTIF(Engins!$A:$A,A19)</f>
        <v>1</v>
      </c>
      <c r="F19" s="14" t="s">
        <v>83</v>
      </c>
      <c r="G19" s="14" t="s">
        <v>116</v>
      </c>
      <c r="H19" s="15"/>
      <c r="I19" s="15"/>
      <c r="J19" s="16"/>
      <c r="K19" s="17"/>
      <c r="L19" s="15"/>
      <c r="M19" s="15"/>
      <c r="N19" s="15"/>
      <c r="O19" s="15"/>
    </row>
    <row r="20" spans="1:15" x14ac:dyDescent="0.25">
      <c r="A20" s="11" t="s">
        <v>117</v>
      </c>
      <c r="B20" s="12" t="s">
        <v>118</v>
      </c>
      <c r="C20" s="12" t="s">
        <v>119</v>
      </c>
      <c r="D20" s="12" t="s">
        <v>110</v>
      </c>
      <c r="E20" s="13">
        <f>COUNTIF(Engins!$A:$A,A20)</f>
        <v>5</v>
      </c>
      <c r="F20" s="14" t="s">
        <v>111</v>
      </c>
      <c r="G20" s="14" t="s">
        <v>120</v>
      </c>
      <c r="H20" s="15"/>
      <c r="I20" s="15"/>
      <c r="J20" s="16"/>
      <c r="K20" s="17"/>
      <c r="L20" s="15"/>
      <c r="M20" s="15"/>
      <c r="N20" s="15"/>
      <c r="O20" s="15"/>
    </row>
    <row r="21" spans="1:15" x14ac:dyDescent="0.25">
      <c r="A21" s="11" t="s">
        <v>121</v>
      </c>
      <c r="B21" s="12" t="s">
        <v>122</v>
      </c>
      <c r="C21" s="12" t="s">
        <v>119</v>
      </c>
      <c r="D21" s="12" t="s">
        <v>115</v>
      </c>
      <c r="E21" s="13">
        <f>COUNTIF(Engins!$A:$A,A21)</f>
        <v>2</v>
      </c>
      <c r="F21" s="14" t="s">
        <v>123</v>
      </c>
      <c r="G21" s="14" t="s">
        <v>124</v>
      </c>
      <c r="H21" s="15"/>
      <c r="I21" s="15"/>
      <c r="J21" s="16"/>
      <c r="K21" s="17"/>
      <c r="L21" s="15"/>
      <c r="M21" s="15"/>
      <c r="N21" s="15"/>
      <c r="O21" s="15"/>
    </row>
    <row r="22" spans="1:15" x14ac:dyDescent="0.25">
      <c r="A22" s="11" t="s">
        <v>125</v>
      </c>
      <c r="B22" s="12" t="s">
        <v>126</v>
      </c>
      <c r="C22" s="12" t="s">
        <v>119</v>
      </c>
      <c r="D22" s="12" t="s">
        <v>110</v>
      </c>
      <c r="E22" s="13">
        <f>COUNTIF(Engins!$A:$A,A22)</f>
        <v>1</v>
      </c>
      <c r="F22" s="14" t="s">
        <v>83</v>
      </c>
      <c r="G22" s="14" t="s">
        <v>127</v>
      </c>
      <c r="H22" s="15"/>
      <c r="I22" s="15"/>
      <c r="J22" s="16"/>
      <c r="K22" s="17"/>
      <c r="L22" s="15"/>
      <c r="M22" s="15"/>
      <c r="N22" s="15"/>
      <c r="O22" s="15"/>
    </row>
    <row r="23" spans="1:15" x14ac:dyDescent="0.25">
      <c r="A23" s="11" t="s">
        <v>128</v>
      </c>
      <c r="B23" s="12" t="s">
        <v>129</v>
      </c>
      <c r="C23" s="12" t="s">
        <v>119</v>
      </c>
      <c r="D23" s="12" t="s">
        <v>130</v>
      </c>
      <c r="E23" s="13">
        <f>COUNTIF(Engins!$A:$A,A23)</f>
        <v>1</v>
      </c>
      <c r="F23" s="14" t="s">
        <v>83</v>
      </c>
      <c r="G23" s="14" t="s">
        <v>131</v>
      </c>
      <c r="H23" s="15"/>
      <c r="I23" s="15"/>
      <c r="J23" s="16"/>
      <c r="K23" s="17"/>
      <c r="L23" s="15"/>
      <c r="M23" s="15"/>
      <c r="N23" s="15"/>
      <c r="O23" s="15"/>
    </row>
    <row r="24" spans="1:15" x14ac:dyDescent="0.25">
      <c r="A24" s="11" t="s">
        <v>132</v>
      </c>
      <c r="B24" s="12" t="s">
        <v>133</v>
      </c>
      <c r="C24" s="12" t="s">
        <v>134</v>
      </c>
      <c r="D24" s="12" t="s">
        <v>115</v>
      </c>
      <c r="E24" s="13">
        <f>COUNTIF(Engins!$A:$A,A24)</f>
        <v>1</v>
      </c>
      <c r="F24" s="14" t="s">
        <v>83</v>
      </c>
      <c r="G24" s="14" t="s">
        <v>135</v>
      </c>
      <c r="H24" s="15"/>
      <c r="I24" s="15"/>
      <c r="J24" s="16"/>
      <c r="K24" s="17"/>
      <c r="L24" s="15"/>
      <c r="M24" s="15"/>
      <c r="N24" s="15"/>
      <c r="O24" s="15"/>
    </row>
    <row r="25" spans="1:15" x14ac:dyDescent="0.25">
      <c r="A25" s="11" t="s">
        <v>136</v>
      </c>
      <c r="B25" s="12" t="s">
        <v>137</v>
      </c>
      <c r="C25" s="12" t="s">
        <v>134</v>
      </c>
      <c r="D25" s="12" t="s">
        <v>110</v>
      </c>
      <c r="E25" s="13">
        <f>COUNTIF(Engins!$A:$A,A25)</f>
        <v>1</v>
      </c>
      <c r="F25" s="14" t="s">
        <v>83</v>
      </c>
      <c r="G25" s="14" t="s">
        <v>138</v>
      </c>
      <c r="H25" s="15"/>
      <c r="I25" s="15"/>
      <c r="J25" s="16"/>
      <c r="K25" s="17"/>
      <c r="L25" s="15"/>
      <c r="M25" s="15"/>
      <c r="N25" s="15"/>
      <c r="O25" s="15"/>
    </row>
    <row r="26" spans="1:15" x14ac:dyDescent="0.25">
      <c r="A26" s="11" t="s">
        <v>139</v>
      </c>
      <c r="B26" s="12" t="s">
        <v>140</v>
      </c>
      <c r="C26" s="12" t="s">
        <v>134</v>
      </c>
      <c r="D26" s="12" t="s">
        <v>141</v>
      </c>
      <c r="E26" s="13">
        <f>COUNTIF(Engins!$A:$A,A26)</f>
        <v>1</v>
      </c>
      <c r="F26" s="14" t="s">
        <v>83</v>
      </c>
      <c r="G26" s="14" t="s">
        <v>142</v>
      </c>
      <c r="H26" s="15"/>
      <c r="I26" s="15"/>
      <c r="J26" s="16"/>
      <c r="K26" s="17"/>
      <c r="L26" s="15"/>
      <c r="M26" s="15"/>
      <c r="N26" s="15"/>
      <c r="O26" s="15"/>
    </row>
    <row r="27" spans="1:15" x14ac:dyDescent="0.25">
      <c r="A27" s="11" t="s">
        <v>143</v>
      </c>
      <c r="B27" s="12" t="s">
        <v>144</v>
      </c>
      <c r="C27" s="12" t="s">
        <v>145</v>
      </c>
      <c r="D27" s="12" t="s">
        <v>146</v>
      </c>
      <c r="E27" s="13">
        <f>COUNTIF(Engins!$A:$A,A27)</f>
        <v>1</v>
      </c>
      <c r="F27" s="14" t="s">
        <v>79</v>
      </c>
      <c r="G27" s="14" t="s">
        <v>147</v>
      </c>
      <c r="H27" s="15"/>
      <c r="I27" s="15"/>
      <c r="J27" s="16"/>
      <c r="K27" s="17"/>
      <c r="L27" s="15"/>
      <c r="M27" s="15"/>
      <c r="N27" s="15"/>
      <c r="O27" s="15"/>
    </row>
    <row r="28" spans="1:15" x14ac:dyDescent="0.25">
      <c r="A28" s="11" t="s">
        <v>148</v>
      </c>
      <c r="B28" s="12" t="s">
        <v>149</v>
      </c>
      <c r="C28" s="12" t="s">
        <v>145</v>
      </c>
      <c r="D28" s="12" t="s">
        <v>146</v>
      </c>
      <c r="E28" s="13">
        <f>COUNTIF(Engins!$A:$A,A28)</f>
        <v>1</v>
      </c>
      <c r="F28" s="14" t="s">
        <v>83</v>
      </c>
      <c r="G28" s="14" t="s">
        <v>150</v>
      </c>
      <c r="H28" s="15"/>
      <c r="I28" s="15"/>
      <c r="J28" s="16"/>
      <c r="K28" s="17"/>
      <c r="L28" s="15"/>
      <c r="M28" s="15"/>
      <c r="N28" s="15"/>
      <c r="O28" s="15"/>
    </row>
    <row r="29" spans="1:15" x14ac:dyDescent="0.25">
      <c r="A29" s="11" t="s">
        <v>151</v>
      </c>
      <c r="B29" s="12" t="s">
        <v>152</v>
      </c>
      <c r="C29" s="12" t="s">
        <v>153</v>
      </c>
      <c r="D29" s="12" t="s">
        <v>154</v>
      </c>
      <c r="E29" s="13">
        <f>COUNTIF(Engins!$A:$A,A29)</f>
        <v>1</v>
      </c>
      <c r="F29" s="14" t="s">
        <v>79</v>
      </c>
      <c r="G29" s="14" t="s">
        <v>155</v>
      </c>
      <c r="H29" s="15"/>
      <c r="I29" s="15"/>
      <c r="J29" s="16"/>
      <c r="K29" s="17"/>
      <c r="L29" s="15"/>
      <c r="M29" s="15"/>
      <c r="N29" s="15"/>
      <c r="O29" s="15"/>
    </row>
    <row r="30" spans="1:15" x14ac:dyDescent="0.25">
      <c r="A30" s="11" t="s">
        <v>156</v>
      </c>
      <c r="B30" s="12" t="s">
        <v>157</v>
      </c>
      <c r="C30" s="12" t="s">
        <v>158</v>
      </c>
      <c r="D30" s="12" t="s">
        <v>159</v>
      </c>
      <c r="E30" s="13">
        <f>COUNTIF(Engins!$A:$A,A30)</f>
        <v>2</v>
      </c>
      <c r="F30" s="14" t="s">
        <v>123</v>
      </c>
      <c r="G30" s="14" t="s">
        <v>160</v>
      </c>
      <c r="H30" s="15"/>
      <c r="I30" s="15"/>
      <c r="J30" s="16"/>
      <c r="K30" s="17"/>
      <c r="L30" s="15"/>
      <c r="M30" s="15"/>
      <c r="N30" s="15"/>
      <c r="O30" s="15"/>
    </row>
    <row r="31" spans="1:15" x14ac:dyDescent="0.25">
      <c r="A31" s="11" t="s">
        <v>161</v>
      </c>
      <c r="B31" s="12" t="s">
        <v>162</v>
      </c>
      <c r="C31" s="12" t="s">
        <v>158</v>
      </c>
      <c r="D31" s="12" t="s">
        <v>159</v>
      </c>
      <c r="E31" s="13">
        <f>COUNTIF(Engins!$A:$A,A31)</f>
        <v>1</v>
      </c>
      <c r="F31" s="14" t="s">
        <v>79</v>
      </c>
      <c r="G31" s="14" t="s">
        <v>163</v>
      </c>
      <c r="H31" s="15"/>
      <c r="I31" s="15"/>
      <c r="J31" s="16"/>
      <c r="K31" s="17"/>
      <c r="L31" s="15"/>
      <c r="M31" s="15"/>
      <c r="N31" s="15"/>
      <c r="O31" s="15"/>
    </row>
    <row r="32" spans="1:15" x14ac:dyDescent="0.25">
      <c r="A32" s="11" t="s">
        <v>164</v>
      </c>
      <c r="B32" s="12" t="s">
        <v>165</v>
      </c>
      <c r="C32" s="12" t="s">
        <v>166</v>
      </c>
      <c r="D32" s="12" t="s">
        <v>167</v>
      </c>
      <c r="E32" s="13">
        <f>COUNTIF(Engins!$A:$A,A32)</f>
        <v>8</v>
      </c>
      <c r="F32" s="14" t="s">
        <v>168</v>
      </c>
      <c r="G32" s="14" t="s">
        <v>169</v>
      </c>
      <c r="H32" s="15"/>
      <c r="I32" s="15"/>
      <c r="J32" s="16"/>
      <c r="K32" s="17"/>
      <c r="L32" s="15"/>
      <c r="M32" s="15"/>
      <c r="N32" s="15"/>
      <c r="O32" s="15"/>
    </row>
    <row r="33" spans="1:15" x14ac:dyDescent="0.25">
      <c r="A33" s="11" t="s">
        <v>170</v>
      </c>
      <c r="B33" s="12" t="s">
        <v>171</v>
      </c>
      <c r="C33" s="12" t="s">
        <v>172</v>
      </c>
      <c r="D33" s="12" t="s">
        <v>173</v>
      </c>
      <c r="E33" s="13">
        <f>COUNTIF(Engins!$A:$A,A33)</f>
        <v>1</v>
      </c>
      <c r="F33" s="14" t="s">
        <v>83</v>
      </c>
      <c r="G33" s="14" t="s">
        <v>174</v>
      </c>
      <c r="H33" s="15"/>
      <c r="I33" s="15"/>
      <c r="J33" s="16"/>
      <c r="K33" s="17"/>
      <c r="L33" s="15"/>
      <c r="M33" s="15"/>
      <c r="N33" s="15"/>
      <c r="O33" s="15"/>
    </row>
    <row r="34" spans="1:15" x14ac:dyDescent="0.25">
      <c r="A34" s="11" t="s">
        <v>175</v>
      </c>
      <c r="B34" s="12" t="s">
        <v>176</v>
      </c>
      <c r="C34" s="12" t="s">
        <v>172</v>
      </c>
      <c r="D34" s="12" t="s">
        <v>177</v>
      </c>
      <c r="E34" s="13">
        <f>COUNTIF(Engins!$A:$A,A34)</f>
        <v>1</v>
      </c>
      <c r="F34" s="14" t="s">
        <v>83</v>
      </c>
      <c r="G34" s="14" t="s">
        <v>178</v>
      </c>
      <c r="H34" s="15"/>
      <c r="I34" s="15"/>
      <c r="J34" s="16"/>
      <c r="K34" s="17"/>
      <c r="L34" s="15"/>
      <c r="M34" s="15"/>
      <c r="N34" s="15"/>
      <c r="O34" s="15"/>
    </row>
    <row r="35" spans="1:15" x14ac:dyDescent="0.25">
      <c r="A35" s="11" t="s">
        <v>179</v>
      </c>
      <c r="B35" s="12" t="s">
        <v>180</v>
      </c>
      <c r="C35" s="12" t="s">
        <v>172</v>
      </c>
      <c r="D35" s="12" t="s">
        <v>181</v>
      </c>
      <c r="E35" s="13">
        <f>COUNTIF(Engins!$A:$A,A35)</f>
        <v>1</v>
      </c>
      <c r="F35" s="14" t="s">
        <v>83</v>
      </c>
      <c r="G35" s="14" t="s">
        <v>182</v>
      </c>
      <c r="H35" s="15"/>
      <c r="I35" s="15"/>
      <c r="J35" s="16"/>
      <c r="K35" s="17"/>
      <c r="L35" s="15"/>
      <c r="M35" s="15"/>
      <c r="N35" s="15"/>
      <c r="O35" s="15"/>
    </row>
    <row r="36" spans="1:15" x14ac:dyDescent="0.25">
      <c r="A36" s="11" t="s">
        <v>183</v>
      </c>
      <c r="B36" s="12" t="s">
        <v>184</v>
      </c>
      <c r="C36" s="12" t="s">
        <v>172</v>
      </c>
      <c r="D36" s="12" t="s">
        <v>185</v>
      </c>
      <c r="E36" s="13">
        <f>COUNTIF(Engins!$A:$A,A36)</f>
        <v>1</v>
      </c>
      <c r="F36" s="14" t="s">
        <v>83</v>
      </c>
      <c r="G36" s="14" t="s">
        <v>186</v>
      </c>
      <c r="H36" s="15"/>
      <c r="I36" s="15"/>
      <c r="J36" s="16"/>
      <c r="K36" s="17"/>
      <c r="L36" s="15"/>
      <c r="M36" s="15"/>
      <c r="N36" s="15"/>
      <c r="O36" s="15"/>
    </row>
    <row r="37" spans="1:15" x14ac:dyDescent="0.25">
      <c r="A37" s="11" t="s">
        <v>187</v>
      </c>
      <c r="B37" s="12" t="s">
        <v>188</v>
      </c>
      <c r="C37" s="12" t="s">
        <v>189</v>
      </c>
      <c r="D37" s="12" t="s">
        <v>190</v>
      </c>
      <c r="E37" s="13">
        <f>COUNTIF(Engins!$A:$A,A37)</f>
        <v>2</v>
      </c>
      <c r="F37" s="14" t="s">
        <v>123</v>
      </c>
      <c r="G37" s="14" t="s">
        <v>191</v>
      </c>
      <c r="H37" s="15"/>
      <c r="I37" s="15"/>
      <c r="J37" s="16"/>
      <c r="K37" s="17"/>
      <c r="L37" s="15"/>
      <c r="M37" s="15"/>
      <c r="N37" s="15"/>
      <c r="O37" s="15"/>
    </row>
    <row r="38" spans="2:5" x14ac:dyDescent="0.25">
      <c r="B38" s="11" t="s">
        <v>192</v>
      </c>
      <c r="E38" s="18">
        <f>SUM(E5:E37)</f>
        <v>108</v>
      </c>
    </row>
  </sheetData>
  <autoFilter ref="A3:O37"/>
  <dataValidations count="8">
    <dataValidation type="list" allowBlank="1" showErrorMessage="1" errorTitle="Type d'indicateur" error="Choisir dans la liste (ou « Autre » + remarque)." sqref="I10:I37">
      <formula1>Listes!$A$2:$A$8</formula1>
    </dataValidation>
    <dataValidation type="list" allowBlank="1" showErrorMessage="1" errorTitle="Type d'indicateur" error="Choisir dans la liste (ou « Autre » + remarque)." sqref="I5:I37">
      <formula1>Listes!$A$2:$A$8</formula1>
    </dataValidation>
    <dataValidation type="whole" allowBlank="1" showErrorMessage="1" error="Nombre de graduations entre 1 et 20." sqref="J10:J37">
      <formula1>1</formula1>
      <formula2>20</formula2>
    </dataValidation>
    <dataValidation type="whole" allowBlank="1" showErrorMessage="1" error="Nombre de graduations entre 1 et 20." sqref="J5:J37">
      <formula1>1</formula1>
      <formula2>20</formula2>
    </dataValidation>
    <dataValidation type="whole" allowBlank="1" showErrorMessage="1" error="Capacité en litres (entre 5 et 2 000)." sqref="K10:K37">
      <formula1>5</formula1>
      <formula2>2000</formula2>
    </dataValidation>
    <dataValidation type="whole" allowBlank="1" showErrorMessage="1" error="Capacité en litres (entre 5 et 2 000)." sqref="K5:K37">
      <formula1>5</formula1>
      <formula2>2000</formula2>
    </dataValidation>
    <dataValidation type="list" allowBlank="1" sqref="L10:M37">
      <formula1>"Oui,Non"</formula1>
    </dataValidation>
    <dataValidation type="list" allowBlank="1" sqref="L5:M37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0" customWidth="1"/>
    <col min="3" max="3" width="12" customWidth="1"/>
    <col min="4" max="4" width="22" customWidth="1"/>
    <col min="5" max="5" width="12" customWidth="1"/>
    <col min="6" max="6" width="30" customWidth="1"/>
    <col min="7" max="7" width="12" customWidth="1"/>
    <col min="8" max="8" width="22" customWidth="1"/>
    <col min="9" max="9" width="14" customWidth="1"/>
    <col min="10" max="10" width="32" customWidth="1"/>
    <col min="11" max="11" width="13" customWidth="1"/>
    <col min="12" max="12" width="15" customWidth="1"/>
    <col min="13" max="13" width="30" customWidth="1"/>
  </cols>
  <sheetData>
    <row r="1" ht="32" customHeight="1" spans="1:13" x14ac:dyDescent="0.25">
      <c r="A1" s="9" t="s">
        <v>193</v>
      </c>
      <c r="B1" s="9" t="s">
        <v>194</v>
      </c>
      <c r="C1" s="9" t="s">
        <v>195</v>
      </c>
      <c r="D1" s="9" t="s">
        <v>25</v>
      </c>
      <c r="E1" s="9" t="s">
        <v>26</v>
      </c>
      <c r="F1" s="9" t="s">
        <v>196</v>
      </c>
      <c r="G1" s="9" t="s">
        <v>197</v>
      </c>
      <c r="H1" s="9" t="s">
        <v>198</v>
      </c>
      <c r="I1" s="9" t="s">
        <v>199</v>
      </c>
      <c r="J1" s="9" t="s">
        <v>200</v>
      </c>
      <c r="K1" s="9" t="s">
        <v>201</v>
      </c>
      <c r="L1" s="9" t="s">
        <v>202</v>
      </c>
      <c r="M1" s="9" t="s">
        <v>37</v>
      </c>
    </row>
    <row r="2" spans="1:13" x14ac:dyDescent="0.25">
      <c r="A2" s="12" t="s">
        <v>49</v>
      </c>
      <c r="B2" s="19" t="s">
        <v>203</v>
      </c>
      <c r="C2" s="12" t="s">
        <v>204</v>
      </c>
      <c r="D2" s="12" t="s">
        <v>51</v>
      </c>
      <c r="E2" s="12" t="s">
        <v>52</v>
      </c>
      <c r="F2" s="12" t="s">
        <v>205</v>
      </c>
      <c r="G2" s="12" t="s">
        <v>203</v>
      </c>
      <c r="H2" s="12" t="s">
        <v>2</v>
      </c>
      <c r="I2" s="15"/>
      <c r="J2" s="15"/>
      <c r="K2" s="15"/>
      <c r="L2" s="15"/>
      <c r="M2" s="15"/>
    </row>
    <row r="3" spans="1:13" x14ac:dyDescent="0.25">
      <c r="A3" s="12" t="s">
        <v>49</v>
      </c>
      <c r="B3" s="19" t="s">
        <v>206</v>
      </c>
      <c r="C3" s="12" t="s">
        <v>204</v>
      </c>
      <c r="D3" s="12" t="s">
        <v>51</v>
      </c>
      <c r="E3" s="12" t="s">
        <v>52</v>
      </c>
      <c r="F3" s="12" t="s">
        <v>207</v>
      </c>
      <c r="G3" s="12" t="s">
        <v>208</v>
      </c>
      <c r="H3" s="12" t="s">
        <v>209</v>
      </c>
      <c r="I3" s="15"/>
      <c r="J3" s="15"/>
      <c r="K3" s="15"/>
      <c r="L3" s="15"/>
      <c r="M3" s="15"/>
    </row>
    <row r="4" spans="1:13" x14ac:dyDescent="0.25">
      <c r="A4" s="12" t="s">
        <v>49</v>
      </c>
      <c r="B4" s="19" t="s">
        <v>210</v>
      </c>
      <c r="C4" s="12" t="s">
        <v>204</v>
      </c>
      <c r="D4" s="12" t="s">
        <v>51</v>
      </c>
      <c r="E4" s="12" t="s">
        <v>52</v>
      </c>
      <c r="F4" s="12" t="s">
        <v>207</v>
      </c>
      <c r="G4" s="12" t="s">
        <v>211</v>
      </c>
      <c r="H4" s="12" t="s">
        <v>212</v>
      </c>
      <c r="I4" s="15"/>
      <c r="J4" s="15"/>
      <c r="K4" s="15"/>
      <c r="L4" s="15"/>
      <c r="M4" s="15"/>
    </row>
    <row r="5" spans="1:13" x14ac:dyDescent="0.25">
      <c r="A5" s="12" t="s">
        <v>49</v>
      </c>
      <c r="B5" s="19" t="s">
        <v>213</v>
      </c>
      <c r="C5" s="12" t="s">
        <v>204</v>
      </c>
      <c r="D5" s="12" t="s">
        <v>51</v>
      </c>
      <c r="E5" s="12" t="s">
        <v>52</v>
      </c>
      <c r="F5" s="12" t="s">
        <v>214</v>
      </c>
      <c r="G5" s="12" t="s">
        <v>215</v>
      </c>
      <c r="H5" s="12" t="s">
        <v>2</v>
      </c>
      <c r="I5" s="15"/>
      <c r="J5" s="15"/>
      <c r="K5" s="15"/>
      <c r="L5" s="15"/>
      <c r="M5" s="15"/>
    </row>
    <row r="6" spans="1:13" x14ac:dyDescent="0.25">
      <c r="A6" s="12" t="s">
        <v>49</v>
      </c>
      <c r="B6" s="19" t="s">
        <v>216</v>
      </c>
      <c r="C6" s="12" t="s">
        <v>204</v>
      </c>
      <c r="D6" s="12" t="s">
        <v>51</v>
      </c>
      <c r="E6" s="12" t="s">
        <v>52</v>
      </c>
      <c r="F6" s="12" t="s">
        <v>217</v>
      </c>
      <c r="G6" s="12" t="s">
        <v>218</v>
      </c>
      <c r="H6" s="12" t="s">
        <v>219</v>
      </c>
      <c r="I6" s="15"/>
      <c r="J6" s="15"/>
      <c r="K6" s="15"/>
      <c r="L6" s="15"/>
      <c r="M6" s="15"/>
    </row>
    <row r="7" spans="1:13" x14ac:dyDescent="0.25">
      <c r="A7" s="12" t="s">
        <v>49</v>
      </c>
      <c r="B7" s="19" t="s">
        <v>220</v>
      </c>
      <c r="C7" s="12" t="s">
        <v>204</v>
      </c>
      <c r="D7" s="12" t="s">
        <v>51</v>
      </c>
      <c r="E7" s="12" t="s">
        <v>52</v>
      </c>
      <c r="F7" s="12" t="s">
        <v>221</v>
      </c>
      <c r="G7" s="12" t="s">
        <v>222</v>
      </c>
      <c r="H7" s="12" t="s">
        <v>223</v>
      </c>
      <c r="I7" s="15"/>
      <c r="J7" s="15"/>
      <c r="K7" s="15"/>
      <c r="L7" s="15"/>
      <c r="M7" s="15"/>
    </row>
    <row r="8" spans="1:13" x14ac:dyDescent="0.25">
      <c r="A8" s="12" t="s">
        <v>49</v>
      </c>
      <c r="B8" s="19" t="s">
        <v>224</v>
      </c>
      <c r="C8" s="12" t="s">
        <v>204</v>
      </c>
      <c r="D8" s="12" t="s">
        <v>51</v>
      </c>
      <c r="E8" s="12" t="s">
        <v>52</v>
      </c>
      <c r="F8" s="12" t="s">
        <v>225</v>
      </c>
      <c r="G8" s="12" t="s">
        <v>226</v>
      </c>
      <c r="H8" s="12" t="s">
        <v>2</v>
      </c>
      <c r="I8" s="15"/>
      <c r="J8" s="15"/>
      <c r="K8" s="15"/>
      <c r="L8" s="15"/>
      <c r="M8" s="15"/>
    </row>
    <row r="9" spans="1:13" x14ac:dyDescent="0.25">
      <c r="A9" s="12" t="s">
        <v>49</v>
      </c>
      <c r="B9" s="19" t="s">
        <v>227</v>
      </c>
      <c r="C9" s="12" t="s">
        <v>204</v>
      </c>
      <c r="D9" s="12" t="s">
        <v>51</v>
      </c>
      <c r="E9" s="12" t="s">
        <v>52</v>
      </c>
      <c r="F9" s="12" t="s">
        <v>228</v>
      </c>
      <c r="G9" s="12" t="s">
        <v>229</v>
      </c>
      <c r="H9" s="12" t="s">
        <v>2</v>
      </c>
      <c r="I9" s="15"/>
      <c r="J9" s="15"/>
      <c r="K9" s="15"/>
      <c r="L9" s="15"/>
      <c r="M9" s="15"/>
    </row>
    <row r="10" spans="1:13" x14ac:dyDescent="0.25">
      <c r="A10" s="12" t="s">
        <v>49</v>
      </c>
      <c r="B10" s="19" t="s">
        <v>230</v>
      </c>
      <c r="C10" s="12" t="s">
        <v>231</v>
      </c>
      <c r="D10" s="12" t="s">
        <v>51</v>
      </c>
      <c r="E10" s="12" t="s">
        <v>52</v>
      </c>
      <c r="F10" s="12" t="s">
        <v>205</v>
      </c>
      <c r="G10" s="12" t="s">
        <v>230</v>
      </c>
      <c r="H10" s="12" t="s">
        <v>232</v>
      </c>
      <c r="I10" s="15"/>
      <c r="J10" s="15"/>
      <c r="K10" s="15"/>
      <c r="L10" s="15"/>
      <c r="M10" s="15"/>
    </row>
    <row r="11" spans="1:13" x14ac:dyDescent="0.25">
      <c r="A11" s="12" t="s">
        <v>49</v>
      </c>
      <c r="B11" s="19" t="s">
        <v>233</v>
      </c>
      <c r="C11" s="12" t="s">
        <v>231</v>
      </c>
      <c r="D11" s="12" t="s">
        <v>51</v>
      </c>
      <c r="E11" s="12" t="s">
        <v>52</v>
      </c>
      <c r="F11" s="12" t="s">
        <v>205</v>
      </c>
      <c r="G11" s="12" t="s">
        <v>233</v>
      </c>
      <c r="H11" s="12" t="s">
        <v>234</v>
      </c>
      <c r="I11" s="15"/>
      <c r="J11" s="15"/>
      <c r="K11" s="15"/>
      <c r="L11" s="15"/>
      <c r="M11" s="15"/>
    </row>
    <row r="12" spans="1:13" x14ac:dyDescent="0.25">
      <c r="A12" s="12" t="s">
        <v>49</v>
      </c>
      <c r="B12" s="19" t="s">
        <v>235</v>
      </c>
      <c r="C12" s="12" t="s">
        <v>231</v>
      </c>
      <c r="D12" s="12" t="s">
        <v>51</v>
      </c>
      <c r="E12" s="12" t="s">
        <v>52</v>
      </c>
      <c r="F12" s="12" t="s">
        <v>205</v>
      </c>
      <c r="G12" s="12" t="s">
        <v>235</v>
      </c>
      <c r="H12" s="12" t="s">
        <v>219</v>
      </c>
      <c r="I12" s="15"/>
      <c r="J12" s="15"/>
      <c r="K12" s="15"/>
      <c r="L12" s="15"/>
      <c r="M12" s="15"/>
    </row>
    <row r="13" spans="1:13" x14ac:dyDescent="0.25">
      <c r="A13" s="12" t="s">
        <v>49</v>
      </c>
      <c r="B13" s="19" t="s">
        <v>236</v>
      </c>
      <c r="C13" s="12" t="s">
        <v>231</v>
      </c>
      <c r="D13" s="12" t="s">
        <v>51</v>
      </c>
      <c r="E13" s="12" t="s">
        <v>52</v>
      </c>
      <c r="F13" s="12" t="s">
        <v>205</v>
      </c>
      <c r="G13" s="12" t="s">
        <v>236</v>
      </c>
      <c r="H13" s="12" t="s">
        <v>237</v>
      </c>
      <c r="I13" s="15"/>
      <c r="J13" s="15"/>
      <c r="K13" s="15"/>
      <c r="L13" s="15"/>
      <c r="M13" s="15"/>
    </row>
    <row r="14" spans="1:13" x14ac:dyDescent="0.25">
      <c r="A14" s="12" t="s">
        <v>49</v>
      </c>
      <c r="B14" s="19" t="s">
        <v>238</v>
      </c>
      <c r="C14" s="12" t="s">
        <v>231</v>
      </c>
      <c r="D14" s="12" t="s">
        <v>51</v>
      </c>
      <c r="E14" s="12" t="s">
        <v>52</v>
      </c>
      <c r="F14" s="12" t="s">
        <v>205</v>
      </c>
      <c r="G14" s="12" t="s">
        <v>238</v>
      </c>
      <c r="H14" s="12" t="s">
        <v>239</v>
      </c>
      <c r="I14" s="15"/>
      <c r="J14" s="15"/>
      <c r="K14" s="15"/>
      <c r="L14" s="15"/>
      <c r="M14" s="15"/>
    </row>
    <row r="15" spans="1:13" x14ac:dyDescent="0.25">
      <c r="A15" s="12" t="s">
        <v>49</v>
      </c>
      <c r="B15" s="19" t="s">
        <v>240</v>
      </c>
      <c r="C15" s="12" t="s">
        <v>231</v>
      </c>
      <c r="D15" s="12" t="s">
        <v>51</v>
      </c>
      <c r="E15" s="12" t="s">
        <v>52</v>
      </c>
      <c r="F15" s="12" t="s">
        <v>205</v>
      </c>
      <c r="G15" s="12" t="s">
        <v>240</v>
      </c>
      <c r="H15" s="12" t="s">
        <v>241</v>
      </c>
      <c r="I15" s="15"/>
      <c r="J15" s="15"/>
      <c r="K15" s="15"/>
      <c r="L15" s="15"/>
      <c r="M15" s="15"/>
    </row>
    <row r="16" spans="1:13" x14ac:dyDescent="0.25">
      <c r="A16" s="12" t="s">
        <v>49</v>
      </c>
      <c r="B16" s="19" t="s">
        <v>242</v>
      </c>
      <c r="C16" s="12" t="s">
        <v>231</v>
      </c>
      <c r="D16" s="12" t="s">
        <v>51</v>
      </c>
      <c r="E16" s="12" t="s">
        <v>52</v>
      </c>
      <c r="F16" s="12" t="s">
        <v>205</v>
      </c>
      <c r="G16" s="12" t="s">
        <v>242</v>
      </c>
      <c r="H16" s="12" t="s">
        <v>243</v>
      </c>
      <c r="I16" s="15"/>
      <c r="J16" s="15"/>
      <c r="K16" s="15"/>
      <c r="L16" s="15"/>
      <c r="M16" s="15"/>
    </row>
    <row r="17" spans="1:13" x14ac:dyDescent="0.25">
      <c r="A17" s="12" t="s">
        <v>49</v>
      </c>
      <c r="B17" s="19" t="s">
        <v>244</v>
      </c>
      <c r="C17" s="12" t="s">
        <v>231</v>
      </c>
      <c r="D17" s="12" t="s">
        <v>51</v>
      </c>
      <c r="E17" s="12" t="s">
        <v>52</v>
      </c>
      <c r="F17" s="12" t="s">
        <v>205</v>
      </c>
      <c r="G17" s="12" t="s">
        <v>244</v>
      </c>
      <c r="H17" s="12" t="s">
        <v>245</v>
      </c>
      <c r="I17" s="15"/>
      <c r="J17" s="15"/>
      <c r="K17" s="15"/>
      <c r="L17" s="15"/>
      <c r="M17" s="15"/>
    </row>
    <row r="18" spans="1:13" x14ac:dyDescent="0.25">
      <c r="A18" s="12" t="s">
        <v>49</v>
      </c>
      <c r="B18" s="19" t="s">
        <v>246</v>
      </c>
      <c r="C18" s="12" t="s">
        <v>231</v>
      </c>
      <c r="D18" s="12" t="s">
        <v>51</v>
      </c>
      <c r="E18" s="12" t="s">
        <v>52</v>
      </c>
      <c r="F18" s="12" t="s">
        <v>247</v>
      </c>
      <c r="G18" s="12" t="s">
        <v>248</v>
      </c>
      <c r="H18" s="12" t="s">
        <v>249</v>
      </c>
      <c r="I18" s="15"/>
      <c r="J18" s="15"/>
      <c r="K18" s="15"/>
      <c r="L18" s="15"/>
      <c r="M18" s="15"/>
    </row>
    <row r="19" spans="1:13" x14ac:dyDescent="0.25">
      <c r="A19" s="12" t="s">
        <v>49</v>
      </c>
      <c r="B19" s="19" t="s">
        <v>250</v>
      </c>
      <c r="C19" s="12" t="s">
        <v>231</v>
      </c>
      <c r="D19" s="12" t="s">
        <v>51</v>
      </c>
      <c r="E19" s="12" t="s">
        <v>52</v>
      </c>
      <c r="F19" s="12" t="s">
        <v>251</v>
      </c>
      <c r="G19" s="12" t="s">
        <v>252</v>
      </c>
      <c r="H19" s="12" t="s">
        <v>253</v>
      </c>
      <c r="I19" s="15"/>
      <c r="J19" s="15"/>
      <c r="K19" s="15"/>
      <c r="L19" s="15"/>
      <c r="M19" s="15"/>
    </row>
    <row r="20" spans="1:13" x14ac:dyDescent="0.25">
      <c r="A20" s="12" t="s">
        <v>49</v>
      </c>
      <c r="B20" s="19" t="s">
        <v>254</v>
      </c>
      <c r="C20" s="12" t="s">
        <v>231</v>
      </c>
      <c r="D20" s="12" t="s">
        <v>51</v>
      </c>
      <c r="E20" s="12" t="s">
        <v>52</v>
      </c>
      <c r="F20" s="12" t="s">
        <v>255</v>
      </c>
      <c r="G20" s="12" t="s">
        <v>256</v>
      </c>
      <c r="H20" s="12" t="s">
        <v>209</v>
      </c>
      <c r="I20" s="15"/>
      <c r="J20" s="15"/>
      <c r="K20" s="15"/>
      <c r="L20" s="15"/>
      <c r="M20" s="15"/>
    </row>
    <row r="21" spans="1:13" x14ac:dyDescent="0.25">
      <c r="A21" s="12" t="s">
        <v>49</v>
      </c>
      <c r="B21" s="19" t="s">
        <v>257</v>
      </c>
      <c r="C21" s="12" t="s">
        <v>231</v>
      </c>
      <c r="D21" s="12" t="s">
        <v>51</v>
      </c>
      <c r="E21" s="12" t="s">
        <v>52</v>
      </c>
      <c r="F21" s="12" t="s">
        <v>258</v>
      </c>
      <c r="G21" s="12" t="s">
        <v>259</v>
      </c>
      <c r="H21" s="12" t="s">
        <v>260</v>
      </c>
      <c r="I21" s="15"/>
      <c r="J21" s="15"/>
      <c r="K21" s="15"/>
      <c r="L21" s="15"/>
      <c r="M21" s="15"/>
    </row>
    <row r="22" spans="1:13" x14ac:dyDescent="0.25">
      <c r="A22" s="12" t="s">
        <v>49</v>
      </c>
      <c r="B22" s="19" t="s">
        <v>261</v>
      </c>
      <c r="C22" s="12" t="s">
        <v>231</v>
      </c>
      <c r="D22" s="12" t="s">
        <v>51</v>
      </c>
      <c r="E22" s="12" t="s">
        <v>52</v>
      </c>
      <c r="F22" s="12" t="s">
        <v>262</v>
      </c>
      <c r="G22" s="12" t="s">
        <v>263</v>
      </c>
      <c r="H22" s="12" t="s">
        <v>264</v>
      </c>
      <c r="I22" s="15"/>
      <c r="J22" s="15"/>
      <c r="K22" s="15"/>
      <c r="L22" s="15"/>
      <c r="M22" s="15"/>
    </row>
    <row r="23" spans="1:13" x14ac:dyDescent="0.25">
      <c r="A23" s="12" t="s">
        <v>49</v>
      </c>
      <c r="B23" s="19" t="s">
        <v>265</v>
      </c>
      <c r="C23" s="12" t="s">
        <v>231</v>
      </c>
      <c r="D23" s="12" t="s">
        <v>51</v>
      </c>
      <c r="E23" s="12" t="s">
        <v>52</v>
      </c>
      <c r="F23" s="12" t="s">
        <v>266</v>
      </c>
      <c r="G23" s="12" t="s">
        <v>267</v>
      </c>
      <c r="H23" s="12" t="s">
        <v>268</v>
      </c>
      <c r="I23" s="15"/>
      <c r="J23" s="15"/>
      <c r="K23" s="15"/>
      <c r="L23" s="15"/>
      <c r="M23" s="15"/>
    </row>
    <row r="24" spans="1:13" x14ac:dyDescent="0.25">
      <c r="A24" s="12" t="s">
        <v>49</v>
      </c>
      <c r="B24" s="19" t="s">
        <v>269</v>
      </c>
      <c r="C24" s="12" t="s">
        <v>231</v>
      </c>
      <c r="D24" s="12" t="s">
        <v>51</v>
      </c>
      <c r="E24" s="12" t="s">
        <v>52</v>
      </c>
      <c r="F24" s="12" t="s">
        <v>205</v>
      </c>
      <c r="G24" s="12" t="s">
        <v>269</v>
      </c>
      <c r="H24" s="12" t="s">
        <v>2</v>
      </c>
      <c r="I24" s="15"/>
      <c r="J24" s="15"/>
      <c r="K24" s="15"/>
      <c r="L24" s="15"/>
      <c r="M24" s="15"/>
    </row>
    <row r="25" spans="1:13" x14ac:dyDescent="0.25">
      <c r="A25" s="12" t="s">
        <v>49</v>
      </c>
      <c r="B25" s="19" t="s">
        <v>270</v>
      </c>
      <c r="C25" s="12" t="s">
        <v>231</v>
      </c>
      <c r="D25" s="12" t="s">
        <v>51</v>
      </c>
      <c r="E25" s="12" t="s">
        <v>52</v>
      </c>
      <c r="F25" s="12" t="s">
        <v>205</v>
      </c>
      <c r="G25" s="12" t="s">
        <v>270</v>
      </c>
      <c r="H25" s="12" t="s">
        <v>271</v>
      </c>
      <c r="I25" s="15"/>
      <c r="J25" s="15"/>
      <c r="K25" s="15"/>
      <c r="L25" s="15"/>
      <c r="M25" s="15"/>
    </row>
    <row r="26" spans="1:13" x14ac:dyDescent="0.25">
      <c r="A26" s="12" t="s">
        <v>49</v>
      </c>
      <c r="B26" s="19" t="s">
        <v>272</v>
      </c>
      <c r="C26" s="12" t="s">
        <v>231</v>
      </c>
      <c r="D26" s="12" t="s">
        <v>51</v>
      </c>
      <c r="E26" s="12" t="s">
        <v>52</v>
      </c>
      <c r="F26" s="12" t="s">
        <v>273</v>
      </c>
      <c r="G26" s="12" t="s">
        <v>274</v>
      </c>
      <c r="H26" s="12" t="s">
        <v>275</v>
      </c>
      <c r="I26" s="15"/>
      <c r="J26" s="15"/>
      <c r="K26" s="15"/>
      <c r="L26" s="15"/>
      <c r="M26" s="15"/>
    </row>
    <row r="27" spans="1:13" x14ac:dyDescent="0.25">
      <c r="A27" s="12" t="s">
        <v>49</v>
      </c>
      <c r="B27" s="19" t="s">
        <v>276</v>
      </c>
      <c r="C27" s="12" t="s">
        <v>231</v>
      </c>
      <c r="D27" s="12" t="s">
        <v>51</v>
      </c>
      <c r="E27" s="12" t="s">
        <v>52</v>
      </c>
      <c r="F27" s="12" t="s">
        <v>205</v>
      </c>
      <c r="G27" s="12" t="s">
        <v>276</v>
      </c>
      <c r="H27" s="12" t="s">
        <v>2</v>
      </c>
      <c r="I27" s="15"/>
      <c r="J27" s="15"/>
      <c r="K27" s="15"/>
      <c r="L27" s="15"/>
      <c r="M27" s="15"/>
    </row>
    <row r="28" spans="1:13" x14ac:dyDescent="0.25">
      <c r="A28" s="12" t="s">
        <v>49</v>
      </c>
      <c r="B28" s="19" t="s">
        <v>277</v>
      </c>
      <c r="C28" s="12" t="s">
        <v>231</v>
      </c>
      <c r="D28" s="12" t="s">
        <v>51</v>
      </c>
      <c r="E28" s="12" t="s">
        <v>52</v>
      </c>
      <c r="F28" s="12" t="s">
        <v>205</v>
      </c>
      <c r="G28" s="12" t="s">
        <v>277</v>
      </c>
      <c r="H28" s="12" t="s">
        <v>2</v>
      </c>
      <c r="I28" s="15"/>
      <c r="J28" s="15"/>
      <c r="K28" s="15"/>
      <c r="L28" s="15"/>
      <c r="M28" s="15"/>
    </row>
    <row r="29" spans="1:13" x14ac:dyDescent="0.25">
      <c r="A29" s="12" t="s">
        <v>49</v>
      </c>
      <c r="B29" s="19" t="s">
        <v>278</v>
      </c>
      <c r="C29" s="12" t="s">
        <v>231</v>
      </c>
      <c r="D29" s="12" t="s">
        <v>51</v>
      </c>
      <c r="E29" s="12" t="s">
        <v>52</v>
      </c>
      <c r="F29" s="12" t="s">
        <v>205</v>
      </c>
      <c r="G29" s="12" t="s">
        <v>278</v>
      </c>
      <c r="H29" s="12" t="s">
        <v>279</v>
      </c>
      <c r="I29" s="15"/>
      <c r="J29" s="15"/>
      <c r="K29" s="15"/>
      <c r="L29" s="15"/>
      <c r="M29" s="15"/>
    </row>
    <row r="30" spans="1:13" x14ac:dyDescent="0.25">
      <c r="A30" s="12" t="s">
        <v>55</v>
      </c>
      <c r="B30" s="19" t="s">
        <v>280</v>
      </c>
      <c r="C30" s="12" t="s">
        <v>281</v>
      </c>
      <c r="D30" s="12" t="s">
        <v>51</v>
      </c>
      <c r="E30" s="12" t="s">
        <v>52</v>
      </c>
      <c r="F30" s="12" t="s">
        <v>282</v>
      </c>
      <c r="G30" s="12" t="s">
        <v>276</v>
      </c>
      <c r="H30" s="12" t="s">
        <v>253</v>
      </c>
      <c r="I30" s="15"/>
      <c r="J30" s="15"/>
      <c r="K30" s="15"/>
      <c r="L30" s="15"/>
      <c r="M30" s="15"/>
    </row>
    <row r="31" spans="1:13" x14ac:dyDescent="0.25">
      <c r="A31" s="12" t="s">
        <v>55</v>
      </c>
      <c r="B31" s="19" t="s">
        <v>283</v>
      </c>
      <c r="C31" s="12" t="s">
        <v>42</v>
      </c>
      <c r="D31" s="12" t="s">
        <v>51</v>
      </c>
      <c r="E31" s="12" t="s">
        <v>52</v>
      </c>
      <c r="F31" s="12" t="s">
        <v>284</v>
      </c>
      <c r="G31" s="12" t="s">
        <v>244</v>
      </c>
      <c r="H31" s="12" t="s">
        <v>285</v>
      </c>
      <c r="I31" s="15"/>
      <c r="J31" s="15"/>
      <c r="K31" s="15"/>
      <c r="L31" s="15"/>
      <c r="M31" s="15"/>
    </row>
    <row r="32" spans="1:13" x14ac:dyDescent="0.25">
      <c r="A32" s="12" t="s">
        <v>55</v>
      </c>
      <c r="B32" s="19" t="s">
        <v>286</v>
      </c>
      <c r="C32" s="12" t="s">
        <v>42</v>
      </c>
      <c r="D32" s="12" t="s">
        <v>51</v>
      </c>
      <c r="E32" s="12" t="s">
        <v>52</v>
      </c>
      <c r="F32" s="12" t="s">
        <v>287</v>
      </c>
      <c r="G32" s="12" t="s">
        <v>269</v>
      </c>
      <c r="H32" s="12" t="s">
        <v>288</v>
      </c>
      <c r="I32" s="15"/>
      <c r="J32" s="15"/>
      <c r="K32" s="15"/>
      <c r="L32" s="15"/>
      <c r="M32" s="15"/>
    </row>
    <row r="33" spans="1:13" x14ac:dyDescent="0.25">
      <c r="A33" s="12" t="s">
        <v>59</v>
      </c>
      <c r="B33" s="19" t="s">
        <v>289</v>
      </c>
      <c r="C33" s="12" t="s">
        <v>290</v>
      </c>
      <c r="D33" s="12" t="s">
        <v>51</v>
      </c>
      <c r="E33" s="12" t="s">
        <v>52</v>
      </c>
      <c r="F33" s="12" t="s">
        <v>291</v>
      </c>
      <c r="G33" s="12" t="s">
        <v>292</v>
      </c>
      <c r="H33" s="12" t="s">
        <v>293</v>
      </c>
      <c r="I33" s="15"/>
      <c r="J33" s="15"/>
      <c r="K33" s="15"/>
      <c r="L33" s="15"/>
      <c r="M33" s="15"/>
    </row>
    <row r="34" spans="1:13" x14ac:dyDescent="0.25">
      <c r="A34" s="12" t="s">
        <v>59</v>
      </c>
      <c r="B34" s="19" t="s">
        <v>294</v>
      </c>
      <c r="C34" s="12" t="s">
        <v>290</v>
      </c>
      <c r="D34" s="12" t="s">
        <v>51</v>
      </c>
      <c r="E34" s="12" t="s">
        <v>52</v>
      </c>
      <c r="F34" s="12" t="s">
        <v>295</v>
      </c>
      <c r="G34" s="12" t="s">
        <v>296</v>
      </c>
      <c r="H34" s="12" t="s">
        <v>297</v>
      </c>
      <c r="I34" s="15"/>
      <c r="J34" s="15"/>
      <c r="K34" s="15"/>
      <c r="L34" s="15"/>
      <c r="M34" s="15"/>
    </row>
    <row r="35" spans="1:13" x14ac:dyDescent="0.25">
      <c r="A35" s="12" t="s">
        <v>59</v>
      </c>
      <c r="B35" s="19" t="s">
        <v>298</v>
      </c>
      <c r="C35" s="12" t="s">
        <v>290</v>
      </c>
      <c r="D35" s="12" t="s">
        <v>51</v>
      </c>
      <c r="E35" s="12" t="s">
        <v>52</v>
      </c>
      <c r="F35" s="12" t="s">
        <v>299</v>
      </c>
      <c r="G35" s="12" t="s">
        <v>300</v>
      </c>
      <c r="H35" s="12" t="s">
        <v>301</v>
      </c>
      <c r="I35" s="15"/>
      <c r="J35" s="15"/>
      <c r="K35" s="15"/>
      <c r="L35" s="15"/>
      <c r="M35" s="15"/>
    </row>
    <row r="36" spans="1:13" x14ac:dyDescent="0.25">
      <c r="A36" s="12" t="s">
        <v>63</v>
      </c>
      <c r="B36" s="19" t="s">
        <v>302</v>
      </c>
      <c r="C36" s="12" t="s">
        <v>204</v>
      </c>
      <c r="D36" s="12" t="s">
        <v>51</v>
      </c>
      <c r="E36" s="12" t="s">
        <v>65</v>
      </c>
      <c r="F36" s="12" t="s">
        <v>303</v>
      </c>
      <c r="G36" s="12" t="s">
        <v>304</v>
      </c>
      <c r="H36" s="12" t="s">
        <v>305</v>
      </c>
      <c r="I36" s="15"/>
      <c r="J36" s="15"/>
      <c r="K36" s="15"/>
      <c r="L36" s="15"/>
      <c r="M36" s="15"/>
    </row>
    <row r="37" spans="1:13" x14ac:dyDescent="0.25">
      <c r="A37" s="12" t="s">
        <v>63</v>
      </c>
      <c r="B37" s="19" t="s">
        <v>306</v>
      </c>
      <c r="C37" s="12" t="s">
        <v>204</v>
      </c>
      <c r="D37" s="12" t="s">
        <v>51</v>
      </c>
      <c r="E37" s="12" t="s">
        <v>65</v>
      </c>
      <c r="F37" s="12" t="s">
        <v>307</v>
      </c>
      <c r="G37" s="12" t="s">
        <v>308</v>
      </c>
      <c r="H37" s="12" t="s">
        <v>309</v>
      </c>
      <c r="I37" s="15"/>
      <c r="J37" s="15"/>
      <c r="K37" s="15"/>
      <c r="L37" s="15"/>
      <c r="M37" s="15"/>
    </row>
    <row r="38" spans="1:13" x14ac:dyDescent="0.25">
      <c r="A38" s="12" t="s">
        <v>68</v>
      </c>
      <c r="B38" s="19" t="s">
        <v>310</v>
      </c>
      <c r="C38" s="12" t="s">
        <v>281</v>
      </c>
      <c r="D38" s="12" t="s">
        <v>40</v>
      </c>
      <c r="E38" s="12" t="s">
        <v>41</v>
      </c>
      <c r="F38" s="12" t="s">
        <v>311</v>
      </c>
      <c r="G38" s="12" t="s">
        <v>312</v>
      </c>
      <c r="H38" s="12" t="s">
        <v>313</v>
      </c>
      <c r="I38" s="15"/>
      <c r="J38" s="15"/>
      <c r="K38" s="15"/>
      <c r="L38" s="15"/>
      <c r="M38" s="15"/>
    </row>
    <row r="39" spans="1:13" x14ac:dyDescent="0.25">
      <c r="A39" s="12" t="s">
        <v>68</v>
      </c>
      <c r="B39" s="19" t="s">
        <v>314</v>
      </c>
      <c r="C39" s="12" t="s">
        <v>42</v>
      </c>
      <c r="D39" s="12" t="s">
        <v>40</v>
      </c>
      <c r="E39" s="12" t="s">
        <v>41</v>
      </c>
      <c r="F39" s="12" t="s">
        <v>315</v>
      </c>
      <c r="G39" s="12" t="s">
        <v>316</v>
      </c>
      <c r="H39" s="12" t="s">
        <v>317</v>
      </c>
      <c r="I39" s="15"/>
      <c r="J39" s="15"/>
      <c r="K39" s="15"/>
      <c r="L39" s="15"/>
      <c r="M39" s="15"/>
    </row>
    <row r="40" spans="1:13" x14ac:dyDescent="0.25">
      <c r="A40" s="12" t="s">
        <v>68</v>
      </c>
      <c r="B40" s="19" t="s">
        <v>318</v>
      </c>
      <c r="C40" s="12" t="s">
        <v>42</v>
      </c>
      <c r="D40" s="12" t="s">
        <v>40</v>
      </c>
      <c r="E40" s="12" t="s">
        <v>41</v>
      </c>
      <c r="F40" s="12" t="s">
        <v>319</v>
      </c>
      <c r="G40" s="12" t="s">
        <v>320</v>
      </c>
      <c r="H40" s="12" t="s">
        <v>321</v>
      </c>
      <c r="I40" s="15"/>
      <c r="J40" s="15"/>
      <c r="K40" s="15"/>
      <c r="L40" s="15"/>
      <c r="M40" s="15"/>
    </row>
    <row r="41" spans="1:13" x14ac:dyDescent="0.25">
      <c r="A41" s="12" t="s">
        <v>68</v>
      </c>
      <c r="B41" s="19" t="s">
        <v>322</v>
      </c>
      <c r="C41" s="12" t="s">
        <v>42</v>
      </c>
      <c r="D41" s="12" t="s">
        <v>40</v>
      </c>
      <c r="E41" s="12" t="s">
        <v>41</v>
      </c>
      <c r="F41" s="12" t="s">
        <v>323</v>
      </c>
      <c r="G41" s="12" t="s">
        <v>324</v>
      </c>
      <c r="H41" s="12" t="s">
        <v>325</v>
      </c>
      <c r="I41" s="15"/>
      <c r="J41" s="15"/>
      <c r="K41" s="15"/>
      <c r="L41" s="15"/>
      <c r="M41" s="15"/>
    </row>
    <row r="42" spans="1:13" x14ac:dyDescent="0.25">
      <c r="A42" s="12" t="s">
        <v>68</v>
      </c>
      <c r="B42" s="19" t="s">
        <v>326</v>
      </c>
      <c r="C42" s="12" t="s">
        <v>42</v>
      </c>
      <c r="D42" s="12" t="s">
        <v>40</v>
      </c>
      <c r="E42" s="12" t="s">
        <v>41</v>
      </c>
      <c r="F42" s="12" t="s">
        <v>327</v>
      </c>
      <c r="G42" s="12" t="s">
        <v>328</v>
      </c>
      <c r="H42" s="12" t="s">
        <v>329</v>
      </c>
      <c r="I42" s="15"/>
      <c r="J42" s="15"/>
      <c r="K42" s="15"/>
      <c r="L42" s="15"/>
      <c r="M42" s="15"/>
    </row>
    <row r="43" spans="1:13" x14ac:dyDescent="0.25">
      <c r="A43" s="12" t="s">
        <v>68</v>
      </c>
      <c r="B43" s="19" t="s">
        <v>330</v>
      </c>
      <c r="C43" s="12" t="s">
        <v>290</v>
      </c>
      <c r="D43" s="12" t="s">
        <v>40</v>
      </c>
      <c r="E43" s="12" t="s">
        <v>41</v>
      </c>
      <c r="F43" s="12" t="s">
        <v>331</v>
      </c>
      <c r="G43" s="12" t="s">
        <v>332</v>
      </c>
      <c r="H43" s="12" t="s">
        <v>333</v>
      </c>
      <c r="I43" s="15"/>
      <c r="J43" s="15"/>
      <c r="K43" s="15"/>
      <c r="L43" s="15"/>
      <c r="M43" s="15"/>
    </row>
    <row r="44" spans="1:13" x14ac:dyDescent="0.25">
      <c r="A44" s="12" t="s">
        <v>68</v>
      </c>
      <c r="B44" s="19" t="s">
        <v>334</v>
      </c>
      <c r="C44" s="12" t="s">
        <v>290</v>
      </c>
      <c r="D44" s="12" t="s">
        <v>40</v>
      </c>
      <c r="E44" s="12" t="s">
        <v>41</v>
      </c>
      <c r="F44" s="12" t="s">
        <v>335</v>
      </c>
      <c r="G44" s="12" t="s">
        <v>336</v>
      </c>
      <c r="H44" s="12" t="s">
        <v>337</v>
      </c>
      <c r="I44" s="15"/>
      <c r="J44" s="15"/>
      <c r="K44" s="15"/>
      <c r="L44" s="15"/>
      <c r="M44" s="15"/>
    </row>
    <row r="45" spans="1:13" x14ac:dyDescent="0.25">
      <c r="A45" s="12" t="s">
        <v>68</v>
      </c>
      <c r="B45" s="19" t="s">
        <v>338</v>
      </c>
      <c r="C45" s="12" t="s">
        <v>290</v>
      </c>
      <c r="D45" s="12" t="s">
        <v>40</v>
      </c>
      <c r="E45" s="12" t="s">
        <v>41</v>
      </c>
      <c r="F45" s="12" t="s">
        <v>339</v>
      </c>
      <c r="G45" s="12" t="s">
        <v>340</v>
      </c>
      <c r="H45" s="12" t="s">
        <v>341</v>
      </c>
      <c r="I45" s="15"/>
      <c r="J45" s="15"/>
      <c r="K45" s="15"/>
      <c r="L45" s="15"/>
      <c r="M45" s="15"/>
    </row>
    <row r="46" spans="1:13" x14ac:dyDescent="0.25">
      <c r="A46" s="12" t="s">
        <v>72</v>
      </c>
      <c r="B46" s="19" t="s">
        <v>342</v>
      </c>
      <c r="C46" s="12" t="s">
        <v>42</v>
      </c>
      <c r="D46" s="12" t="s">
        <v>40</v>
      </c>
      <c r="E46" s="12" t="s">
        <v>41</v>
      </c>
      <c r="F46" s="12" t="s">
        <v>343</v>
      </c>
      <c r="G46" s="12" t="s">
        <v>344</v>
      </c>
      <c r="H46" s="12" t="s">
        <v>345</v>
      </c>
      <c r="I46" s="15"/>
      <c r="J46" s="15"/>
      <c r="K46" s="15"/>
      <c r="L46" s="15"/>
      <c r="M46" s="15"/>
    </row>
    <row r="47" spans="1:13" x14ac:dyDescent="0.25">
      <c r="A47" s="12" t="s">
        <v>72</v>
      </c>
      <c r="B47" s="19" t="s">
        <v>346</v>
      </c>
      <c r="C47" s="12" t="s">
        <v>42</v>
      </c>
      <c r="D47" s="12" t="s">
        <v>40</v>
      </c>
      <c r="E47" s="12" t="s">
        <v>41</v>
      </c>
      <c r="F47" s="12" t="s">
        <v>347</v>
      </c>
      <c r="G47" s="12" t="s">
        <v>348</v>
      </c>
      <c r="H47" s="12" t="s">
        <v>349</v>
      </c>
      <c r="I47" s="15"/>
      <c r="J47" s="15"/>
      <c r="K47" s="15"/>
      <c r="L47" s="15"/>
      <c r="M47" s="15"/>
    </row>
    <row r="48" spans="1:13" x14ac:dyDescent="0.25">
      <c r="A48" s="12" t="s">
        <v>72</v>
      </c>
      <c r="B48" s="19" t="s">
        <v>350</v>
      </c>
      <c r="C48" s="12" t="s">
        <v>42</v>
      </c>
      <c r="D48" s="12" t="s">
        <v>40</v>
      </c>
      <c r="E48" s="12" t="s">
        <v>41</v>
      </c>
      <c r="F48" s="12" t="s">
        <v>351</v>
      </c>
      <c r="G48" s="12" t="s">
        <v>352</v>
      </c>
      <c r="H48" s="12" t="s">
        <v>353</v>
      </c>
      <c r="I48" s="15"/>
      <c r="J48" s="15"/>
      <c r="K48" s="15"/>
      <c r="L48" s="15"/>
      <c r="M48" s="15"/>
    </row>
    <row r="49" spans="1:13" x14ac:dyDescent="0.25">
      <c r="A49" s="12" t="s">
        <v>72</v>
      </c>
      <c r="B49" s="19" t="s">
        <v>354</v>
      </c>
      <c r="C49" s="12" t="s">
        <v>42</v>
      </c>
      <c r="D49" s="12" t="s">
        <v>40</v>
      </c>
      <c r="E49" s="12" t="s">
        <v>41</v>
      </c>
      <c r="F49" s="12" t="s">
        <v>355</v>
      </c>
      <c r="G49" s="12" t="s">
        <v>356</v>
      </c>
      <c r="H49" s="12" t="s">
        <v>357</v>
      </c>
      <c r="I49" s="15"/>
      <c r="J49" s="15"/>
      <c r="K49" s="15"/>
      <c r="L49" s="15"/>
      <c r="M49" s="15"/>
    </row>
    <row r="50" spans="1:13" x14ac:dyDescent="0.25">
      <c r="A50" s="12" t="s">
        <v>72</v>
      </c>
      <c r="B50" s="19" t="s">
        <v>358</v>
      </c>
      <c r="C50" s="12" t="s">
        <v>290</v>
      </c>
      <c r="D50" s="12" t="s">
        <v>40</v>
      </c>
      <c r="E50" s="12" t="s">
        <v>41</v>
      </c>
      <c r="F50" s="12" t="s">
        <v>359</v>
      </c>
      <c r="G50" s="12" t="s">
        <v>360</v>
      </c>
      <c r="H50" s="12" t="s">
        <v>361</v>
      </c>
      <c r="I50" s="15"/>
      <c r="J50" s="15"/>
      <c r="K50" s="15"/>
      <c r="L50" s="15"/>
      <c r="M50" s="15"/>
    </row>
    <row r="51" spans="1:13" x14ac:dyDescent="0.25">
      <c r="A51" s="12" t="s">
        <v>72</v>
      </c>
      <c r="B51" s="19" t="s">
        <v>362</v>
      </c>
      <c r="C51" s="12" t="s">
        <v>290</v>
      </c>
      <c r="D51" s="12" t="s">
        <v>40</v>
      </c>
      <c r="E51" s="12" t="s">
        <v>41</v>
      </c>
      <c r="F51" s="12" t="s">
        <v>363</v>
      </c>
      <c r="G51" s="12" t="s">
        <v>364</v>
      </c>
      <c r="H51" s="12" t="s">
        <v>365</v>
      </c>
      <c r="I51" s="15"/>
      <c r="J51" s="15"/>
      <c r="K51" s="15"/>
      <c r="L51" s="15"/>
      <c r="M51" s="15"/>
    </row>
    <row r="52" spans="1:13" x14ac:dyDescent="0.25">
      <c r="A52" s="12" t="s">
        <v>76</v>
      </c>
      <c r="B52" s="19" t="s">
        <v>80</v>
      </c>
      <c r="C52" s="12" t="s">
        <v>281</v>
      </c>
      <c r="D52" s="12" t="s">
        <v>40</v>
      </c>
      <c r="E52" s="12" t="s">
        <v>78</v>
      </c>
      <c r="F52" s="12" t="s">
        <v>366</v>
      </c>
      <c r="G52" s="12" t="s">
        <v>367</v>
      </c>
      <c r="H52" s="12" t="s">
        <v>368</v>
      </c>
      <c r="I52" s="15"/>
      <c r="J52" s="15"/>
      <c r="K52" s="15"/>
      <c r="L52" s="15"/>
      <c r="M52" s="15"/>
    </row>
    <row r="53" spans="1:13" x14ac:dyDescent="0.25">
      <c r="A53" s="12" t="s">
        <v>81</v>
      </c>
      <c r="B53" s="19" t="s">
        <v>84</v>
      </c>
      <c r="C53" s="12" t="s">
        <v>290</v>
      </c>
      <c r="D53" s="12" t="s">
        <v>40</v>
      </c>
      <c r="E53" s="12" t="s">
        <v>78</v>
      </c>
      <c r="F53" s="12" t="s">
        <v>369</v>
      </c>
      <c r="G53" s="12" t="s">
        <v>370</v>
      </c>
      <c r="H53" s="12" t="s">
        <v>371</v>
      </c>
      <c r="I53" s="15"/>
      <c r="J53" s="15"/>
      <c r="K53" s="15"/>
      <c r="L53" s="15"/>
      <c r="M53" s="15"/>
    </row>
    <row r="54" spans="1:13" x14ac:dyDescent="0.25">
      <c r="A54" s="12" t="s">
        <v>85</v>
      </c>
      <c r="B54" s="19" t="s">
        <v>372</v>
      </c>
      <c r="C54" s="12" t="s">
        <v>42</v>
      </c>
      <c r="D54" s="12" t="s">
        <v>87</v>
      </c>
      <c r="E54" s="12" t="s">
        <v>88</v>
      </c>
      <c r="F54" s="12" t="s">
        <v>373</v>
      </c>
      <c r="G54" s="12" t="s">
        <v>374</v>
      </c>
      <c r="H54" s="12" t="s">
        <v>375</v>
      </c>
      <c r="I54" s="15"/>
      <c r="J54" s="15"/>
      <c r="K54" s="15"/>
      <c r="L54" s="15"/>
      <c r="M54" s="15"/>
    </row>
    <row r="55" spans="1:13" x14ac:dyDescent="0.25">
      <c r="A55" s="12" t="s">
        <v>85</v>
      </c>
      <c r="B55" s="19" t="s">
        <v>376</v>
      </c>
      <c r="C55" s="12" t="s">
        <v>42</v>
      </c>
      <c r="D55" s="12" t="s">
        <v>87</v>
      </c>
      <c r="E55" s="12" t="s">
        <v>88</v>
      </c>
      <c r="F55" s="12" t="s">
        <v>377</v>
      </c>
      <c r="G55" s="12" t="s">
        <v>378</v>
      </c>
      <c r="H55" s="12" t="s">
        <v>379</v>
      </c>
      <c r="I55" s="15"/>
      <c r="J55" s="15"/>
      <c r="K55" s="15"/>
      <c r="L55" s="15"/>
      <c r="M55" s="15"/>
    </row>
    <row r="56" spans="1:13" x14ac:dyDescent="0.25">
      <c r="A56" s="12" t="s">
        <v>85</v>
      </c>
      <c r="B56" s="19" t="s">
        <v>380</v>
      </c>
      <c r="C56" s="12" t="s">
        <v>42</v>
      </c>
      <c r="D56" s="12" t="s">
        <v>87</v>
      </c>
      <c r="E56" s="12" t="s">
        <v>88</v>
      </c>
      <c r="F56" s="12" t="s">
        <v>381</v>
      </c>
      <c r="G56" s="12" t="s">
        <v>382</v>
      </c>
      <c r="H56" s="12" t="s">
        <v>383</v>
      </c>
      <c r="I56" s="15"/>
      <c r="J56" s="15"/>
      <c r="K56" s="15"/>
      <c r="L56" s="15"/>
      <c r="M56" s="15"/>
    </row>
    <row r="57" spans="1:13" x14ac:dyDescent="0.25">
      <c r="A57" s="12" t="s">
        <v>85</v>
      </c>
      <c r="B57" s="19" t="s">
        <v>384</v>
      </c>
      <c r="C57" s="12" t="s">
        <v>42</v>
      </c>
      <c r="D57" s="12" t="s">
        <v>87</v>
      </c>
      <c r="E57" s="12" t="s">
        <v>88</v>
      </c>
      <c r="F57" s="12" t="s">
        <v>385</v>
      </c>
      <c r="G57" s="12" t="s">
        <v>386</v>
      </c>
      <c r="H57" s="12" t="s">
        <v>387</v>
      </c>
      <c r="I57" s="15"/>
      <c r="J57" s="15"/>
      <c r="K57" s="15"/>
      <c r="L57" s="15"/>
      <c r="M57" s="15"/>
    </row>
    <row r="58" spans="1:13" x14ac:dyDescent="0.25">
      <c r="A58" s="12" t="s">
        <v>85</v>
      </c>
      <c r="B58" s="19" t="s">
        <v>388</v>
      </c>
      <c r="C58" s="12" t="s">
        <v>42</v>
      </c>
      <c r="D58" s="12" t="s">
        <v>87</v>
      </c>
      <c r="E58" s="12" t="s">
        <v>88</v>
      </c>
      <c r="F58" s="12" t="s">
        <v>389</v>
      </c>
      <c r="G58" s="12" t="s">
        <v>390</v>
      </c>
      <c r="H58" s="12" t="s">
        <v>391</v>
      </c>
      <c r="I58" s="15"/>
      <c r="J58" s="15"/>
      <c r="K58" s="15"/>
      <c r="L58" s="15"/>
      <c r="M58" s="15"/>
    </row>
    <row r="59" spans="1:13" x14ac:dyDescent="0.25">
      <c r="A59" s="12" t="s">
        <v>85</v>
      </c>
      <c r="B59" s="19" t="s">
        <v>392</v>
      </c>
      <c r="C59" s="12" t="s">
        <v>42</v>
      </c>
      <c r="D59" s="12" t="s">
        <v>87</v>
      </c>
      <c r="E59" s="12" t="s">
        <v>88</v>
      </c>
      <c r="F59" s="12" t="s">
        <v>393</v>
      </c>
      <c r="G59" s="12" t="s">
        <v>394</v>
      </c>
      <c r="H59" s="12" t="s">
        <v>395</v>
      </c>
      <c r="I59" s="15"/>
      <c r="J59" s="15"/>
      <c r="K59" s="15"/>
      <c r="L59" s="15"/>
      <c r="M59" s="15"/>
    </row>
    <row r="60" spans="1:13" x14ac:dyDescent="0.25">
      <c r="A60" s="12" t="s">
        <v>85</v>
      </c>
      <c r="B60" s="19" t="s">
        <v>396</v>
      </c>
      <c r="C60" s="12" t="s">
        <v>42</v>
      </c>
      <c r="D60" s="12" t="s">
        <v>87</v>
      </c>
      <c r="E60" s="12" t="s">
        <v>88</v>
      </c>
      <c r="F60" s="12" t="s">
        <v>397</v>
      </c>
      <c r="G60" s="12" t="s">
        <v>398</v>
      </c>
      <c r="H60" s="12" t="s">
        <v>399</v>
      </c>
      <c r="I60" s="15"/>
      <c r="J60" s="15"/>
      <c r="K60" s="15"/>
      <c r="L60" s="15"/>
      <c r="M60" s="15"/>
    </row>
    <row r="61" spans="1:13" x14ac:dyDescent="0.25">
      <c r="A61" s="12" t="s">
        <v>85</v>
      </c>
      <c r="B61" s="19" t="s">
        <v>400</v>
      </c>
      <c r="C61" s="12" t="s">
        <v>42</v>
      </c>
      <c r="D61" s="12" t="s">
        <v>87</v>
      </c>
      <c r="E61" s="12" t="s">
        <v>88</v>
      </c>
      <c r="F61" s="12" t="s">
        <v>401</v>
      </c>
      <c r="G61" s="12" t="s">
        <v>400</v>
      </c>
      <c r="H61" s="12" t="s">
        <v>402</v>
      </c>
      <c r="I61" s="15"/>
      <c r="J61" s="15"/>
      <c r="K61" s="15"/>
      <c r="L61" s="15"/>
      <c r="M61" s="15"/>
    </row>
    <row r="62" spans="1:13" x14ac:dyDescent="0.25">
      <c r="A62" s="12" t="s">
        <v>91</v>
      </c>
      <c r="B62" s="19" t="s">
        <v>403</v>
      </c>
      <c r="C62" s="12" t="s">
        <v>290</v>
      </c>
      <c r="D62" s="12" t="s">
        <v>87</v>
      </c>
      <c r="E62" s="12" t="s">
        <v>88</v>
      </c>
      <c r="F62" s="12" t="s">
        <v>404</v>
      </c>
      <c r="G62" s="12" t="s">
        <v>405</v>
      </c>
      <c r="H62" s="12" t="s">
        <v>406</v>
      </c>
      <c r="I62" s="15"/>
      <c r="J62" s="15"/>
      <c r="K62" s="15"/>
      <c r="L62" s="15"/>
      <c r="M62" s="15"/>
    </row>
    <row r="63" spans="1:13" x14ac:dyDescent="0.25">
      <c r="A63" s="12" t="s">
        <v>91</v>
      </c>
      <c r="B63" s="19" t="s">
        <v>407</v>
      </c>
      <c r="C63" s="12" t="s">
        <v>290</v>
      </c>
      <c r="D63" s="12" t="s">
        <v>87</v>
      </c>
      <c r="E63" s="12" t="s">
        <v>88</v>
      </c>
      <c r="F63" s="12" t="s">
        <v>408</v>
      </c>
      <c r="G63" s="12" t="s">
        <v>409</v>
      </c>
      <c r="H63" s="12" t="s">
        <v>410</v>
      </c>
      <c r="I63" s="15"/>
      <c r="J63" s="15"/>
      <c r="K63" s="15"/>
      <c r="L63" s="15"/>
      <c r="M63" s="15"/>
    </row>
    <row r="64" spans="1:13" x14ac:dyDescent="0.25">
      <c r="A64" s="12" t="s">
        <v>91</v>
      </c>
      <c r="B64" s="19" t="s">
        <v>411</v>
      </c>
      <c r="C64" s="12" t="s">
        <v>290</v>
      </c>
      <c r="D64" s="12" t="s">
        <v>87</v>
      </c>
      <c r="E64" s="12" t="s">
        <v>88</v>
      </c>
      <c r="F64" s="12" t="s">
        <v>412</v>
      </c>
      <c r="G64" s="12" t="s">
        <v>413</v>
      </c>
      <c r="H64" s="12" t="s">
        <v>414</v>
      </c>
      <c r="I64" s="15"/>
      <c r="J64" s="15"/>
      <c r="K64" s="15"/>
      <c r="L64" s="15"/>
      <c r="M64" s="15"/>
    </row>
    <row r="65" spans="1:13" x14ac:dyDescent="0.25">
      <c r="A65" s="12" t="s">
        <v>91</v>
      </c>
      <c r="B65" s="19" t="s">
        <v>415</v>
      </c>
      <c r="C65" s="12" t="s">
        <v>290</v>
      </c>
      <c r="D65" s="12" t="s">
        <v>87</v>
      </c>
      <c r="E65" s="12" t="s">
        <v>88</v>
      </c>
      <c r="F65" s="12" t="s">
        <v>416</v>
      </c>
      <c r="G65" s="12" t="s">
        <v>417</v>
      </c>
      <c r="H65" s="12" t="s">
        <v>418</v>
      </c>
      <c r="I65" s="15"/>
      <c r="J65" s="15"/>
      <c r="K65" s="15"/>
      <c r="L65" s="15"/>
      <c r="M65" s="15"/>
    </row>
    <row r="66" spans="1:13" x14ac:dyDescent="0.25">
      <c r="A66" s="12" t="s">
        <v>91</v>
      </c>
      <c r="B66" s="19" t="s">
        <v>419</v>
      </c>
      <c r="C66" s="12" t="s">
        <v>290</v>
      </c>
      <c r="D66" s="12" t="s">
        <v>87</v>
      </c>
      <c r="E66" s="12" t="s">
        <v>88</v>
      </c>
      <c r="F66" s="12" t="s">
        <v>420</v>
      </c>
      <c r="G66" s="12" t="s">
        <v>421</v>
      </c>
      <c r="H66" s="12" t="s">
        <v>422</v>
      </c>
      <c r="I66" s="15"/>
      <c r="J66" s="15"/>
      <c r="K66" s="15"/>
      <c r="L66" s="15"/>
      <c r="M66" s="15"/>
    </row>
    <row r="67" spans="1:13" x14ac:dyDescent="0.25">
      <c r="A67" s="12" t="s">
        <v>91</v>
      </c>
      <c r="B67" s="19" t="s">
        <v>423</v>
      </c>
      <c r="C67" s="12" t="s">
        <v>290</v>
      </c>
      <c r="D67" s="12" t="s">
        <v>87</v>
      </c>
      <c r="E67" s="12" t="s">
        <v>88</v>
      </c>
      <c r="F67" s="12" t="s">
        <v>424</v>
      </c>
      <c r="G67" s="12" t="s">
        <v>425</v>
      </c>
      <c r="H67" s="12" t="s">
        <v>426</v>
      </c>
      <c r="I67" s="15"/>
      <c r="J67" s="15"/>
      <c r="K67" s="15"/>
      <c r="L67" s="15"/>
      <c r="M67" s="15"/>
    </row>
    <row r="68" spans="1:13" x14ac:dyDescent="0.25">
      <c r="A68" s="12" t="s">
        <v>95</v>
      </c>
      <c r="B68" s="19" t="s">
        <v>98</v>
      </c>
      <c r="C68" s="12" t="s">
        <v>290</v>
      </c>
      <c r="D68" s="12" t="s">
        <v>87</v>
      </c>
      <c r="E68" s="12" t="s">
        <v>97</v>
      </c>
      <c r="F68" s="12" t="s">
        <v>427</v>
      </c>
      <c r="G68" s="12" t="s">
        <v>428</v>
      </c>
      <c r="H68" s="12" t="s">
        <v>429</v>
      </c>
      <c r="I68" s="15"/>
      <c r="J68" s="15"/>
      <c r="K68" s="15"/>
      <c r="L68" s="15"/>
      <c r="M68" s="15"/>
    </row>
    <row r="69" spans="1:13" x14ac:dyDescent="0.25">
      <c r="A69" s="12" t="s">
        <v>99</v>
      </c>
      <c r="B69" s="19" t="s">
        <v>430</v>
      </c>
      <c r="C69" s="12" t="s">
        <v>281</v>
      </c>
      <c r="D69" s="12" t="s">
        <v>101</v>
      </c>
      <c r="E69" s="12" t="s">
        <v>88</v>
      </c>
      <c r="F69" s="12" t="s">
        <v>431</v>
      </c>
      <c r="G69" s="12" t="s">
        <v>432</v>
      </c>
      <c r="H69" s="12" t="s">
        <v>433</v>
      </c>
      <c r="I69" s="15"/>
      <c r="J69" s="15"/>
      <c r="K69" s="15"/>
      <c r="L69" s="15"/>
      <c r="M69" s="15"/>
    </row>
    <row r="70" spans="1:13" x14ac:dyDescent="0.25">
      <c r="A70" s="12" t="s">
        <v>99</v>
      </c>
      <c r="B70" s="19" t="s">
        <v>434</v>
      </c>
      <c r="C70" s="12" t="s">
        <v>281</v>
      </c>
      <c r="D70" s="12" t="s">
        <v>101</v>
      </c>
      <c r="E70" s="12" t="s">
        <v>88</v>
      </c>
      <c r="F70" s="12" t="s">
        <v>435</v>
      </c>
      <c r="G70" s="12" t="s">
        <v>436</v>
      </c>
      <c r="H70" s="12" t="s">
        <v>437</v>
      </c>
      <c r="I70" s="15"/>
      <c r="J70" s="15"/>
      <c r="K70" s="15"/>
      <c r="L70" s="15"/>
      <c r="M70" s="15"/>
    </row>
    <row r="71" spans="1:13" x14ac:dyDescent="0.25">
      <c r="A71" s="12" t="s">
        <v>104</v>
      </c>
      <c r="B71" s="19" t="s">
        <v>106</v>
      </c>
      <c r="C71" s="12" t="s">
        <v>281</v>
      </c>
      <c r="D71" s="12" t="s">
        <v>101</v>
      </c>
      <c r="E71" s="12" t="s">
        <v>88</v>
      </c>
      <c r="F71" s="12" t="s">
        <v>438</v>
      </c>
      <c r="G71" s="12" t="s">
        <v>439</v>
      </c>
      <c r="H71" s="12" t="s">
        <v>440</v>
      </c>
      <c r="I71" s="15"/>
      <c r="J71" s="15"/>
      <c r="K71" s="15"/>
      <c r="L71" s="15"/>
      <c r="M71" s="15"/>
    </row>
    <row r="72" spans="1:13" x14ac:dyDescent="0.25">
      <c r="A72" s="12" t="s">
        <v>107</v>
      </c>
      <c r="B72" s="19" t="s">
        <v>441</v>
      </c>
      <c r="C72" s="12" t="s">
        <v>290</v>
      </c>
      <c r="D72" s="12" t="s">
        <v>109</v>
      </c>
      <c r="E72" s="12" t="s">
        <v>110</v>
      </c>
      <c r="F72" s="12" t="s">
        <v>442</v>
      </c>
      <c r="G72" s="12" t="s">
        <v>2</v>
      </c>
      <c r="H72" s="12" t="s">
        <v>443</v>
      </c>
      <c r="I72" s="15"/>
      <c r="J72" s="15"/>
      <c r="K72" s="15"/>
      <c r="L72" s="15"/>
      <c r="M72" s="15"/>
    </row>
    <row r="73" spans="1:13" x14ac:dyDescent="0.25">
      <c r="A73" s="12" t="s">
        <v>107</v>
      </c>
      <c r="B73" s="19" t="s">
        <v>444</v>
      </c>
      <c r="C73" s="12" t="s">
        <v>290</v>
      </c>
      <c r="D73" s="12" t="s">
        <v>109</v>
      </c>
      <c r="E73" s="12" t="s">
        <v>110</v>
      </c>
      <c r="F73" s="12" t="s">
        <v>445</v>
      </c>
      <c r="G73" s="12" t="s">
        <v>2</v>
      </c>
      <c r="H73" s="12" t="s">
        <v>446</v>
      </c>
      <c r="I73" s="15"/>
      <c r="J73" s="15"/>
      <c r="K73" s="15"/>
      <c r="L73" s="15"/>
      <c r="M73" s="15"/>
    </row>
    <row r="74" spans="1:13" x14ac:dyDescent="0.25">
      <c r="A74" s="12" t="s">
        <v>107</v>
      </c>
      <c r="B74" s="19" t="s">
        <v>447</v>
      </c>
      <c r="C74" s="12" t="s">
        <v>290</v>
      </c>
      <c r="D74" s="12" t="s">
        <v>109</v>
      </c>
      <c r="E74" s="12" t="s">
        <v>110</v>
      </c>
      <c r="F74" s="12" t="s">
        <v>448</v>
      </c>
      <c r="G74" s="12" t="s">
        <v>2</v>
      </c>
      <c r="H74" s="12" t="s">
        <v>449</v>
      </c>
      <c r="I74" s="15"/>
      <c r="J74" s="15"/>
      <c r="K74" s="15"/>
      <c r="L74" s="15"/>
      <c r="M74" s="15"/>
    </row>
    <row r="75" spans="1:13" x14ac:dyDescent="0.25">
      <c r="A75" s="12" t="s">
        <v>107</v>
      </c>
      <c r="B75" s="19" t="s">
        <v>450</v>
      </c>
      <c r="C75" s="12" t="s">
        <v>290</v>
      </c>
      <c r="D75" s="12" t="s">
        <v>109</v>
      </c>
      <c r="E75" s="12" t="s">
        <v>110</v>
      </c>
      <c r="F75" s="12" t="s">
        <v>451</v>
      </c>
      <c r="G75" s="12" t="s">
        <v>2</v>
      </c>
      <c r="H75" s="12" t="s">
        <v>452</v>
      </c>
      <c r="I75" s="15"/>
      <c r="J75" s="15"/>
      <c r="K75" s="15"/>
      <c r="L75" s="15"/>
      <c r="M75" s="15"/>
    </row>
    <row r="76" spans="1:13" x14ac:dyDescent="0.25">
      <c r="A76" s="12" t="s">
        <v>107</v>
      </c>
      <c r="B76" s="19" t="s">
        <v>453</v>
      </c>
      <c r="C76" s="12" t="s">
        <v>290</v>
      </c>
      <c r="D76" s="12" t="s">
        <v>109</v>
      </c>
      <c r="E76" s="12" t="s">
        <v>110</v>
      </c>
      <c r="F76" s="12" t="s">
        <v>454</v>
      </c>
      <c r="G76" s="12" t="s">
        <v>2</v>
      </c>
      <c r="H76" s="12" t="s">
        <v>455</v>
      </c>
      <c r="I76" s="15"/>
      <c r="J76" s="15"/>
      <c r="K76" s="15"/>
      <c r="L76" s="15"/>
      <c r="M76" s="15"/>
    </row>
    <row r="77" spans="1:13" x14ac:dyDescent="0.25">
      <c r="A77" s="12" t="s">
        <v>113</v>
      </c>
      <c r="B77" s="19" t="s">
        <v>116</v>
      </c>
      <c r="C77" s="12" t="s">
        <v>290</v>
      </c>
      <c r="D77" s="12" t="s">
        <v>109</v>
      </c>
      <c r="E77" s="12" t="s">
        <v>115</v>
      </c>
      <c r="F77" s="12" t="s">
        <v>456</v>
      </c>
      <c r="G77" s="12" t="s">
        <v>2</v>
      </c>
      <c r="H77" s="12" t="s">
        <v>457</v>
      </c>
      <c r="I77" s="15"/>
      <c r="J77" s="15"/>
      <c r="K77" s="15"/>
      <c r="L77" s="15"/>
      <c r="M77" s="15"/>
    </row>
    <row r="78" spans="1:13" x14ac:dyDescent="0.25">
      <c r="A78" s="12" t="s">
        <v>117</v>
      </c>
      <c r="B78" s="19" t="s">
        <v>458</v>
      </c>
      <c r="C78" s="12" t="s">
        <v>290</v>
      </c>
      <c r="D78" s="12" t="s">
        <v>119</v>
      </c>
      <c r="E78" s="12" t="s">
        <v>110</v>
      </c>
      <c r="F78" s="12" t="s">
        <v>459</v>
      </c>
      <c r="G78" s="12" t="s">
        <v>460</v>
      </c>
      <c r="H78" s="12" t="s">
        <v>461</v>
      </c>
      <c r="I78" s="15"/>
      <c r="J78" s="15"/>
      <c r="K78" s="15"/>
      <c r="L78" s="15"/>
      <c r="M78" s="15"/>
    </row>
    <row r="79" spans="1:13" x14ac:dyDescent="0.25">
      <c r="A79" s="12" t="s">
        <v>117</v>
      </c>
      <c r="B79" s="19" t="s">
        <v>462</v>
      </c>
      <c r="C79" s="12" t="s">
        <v>290</v>
      </c>
      <c r="D79" s="12" t="s">
        <v>119</v>
      </c>
      <c r="E79" s="12" t="s">
        <v>110</v>
      </c>
      <c r="F79" s="12" t="s">
        <v>463</v>
      </c>
      <c r="G79" s="12" t="s">
        <v>2</v>
      </c>
      <c r="H79" s="12" t="s">
        <v>464</v>
      </c>
      <c r="I79" s="15"/>
      <c r="J79" s="15"/>
      <c r="K79" s="15"/>
      <c r="L79" s="15"/>
      <c r="M79" s="15"/>
    </row>
    <row r="80" spans="1:13" x14ac:dyDescent="0.25">
      <c r="A80" s="12" t="s">
        <v>117</v>
      </c>
      <c r="B80" s="19" t="s">
        <v>465</v>
      </c>
      <c r="C80" s="12" t="s">
        <v>290</v>
      </c>
      <c r="D80" s="12" t="s">
        <v>119</v>
      </c>
      <c r="E80" s="12" t="s">
        <v>110</v>
      </c>
      <c r="F80" s="12" t="s">
        <v>466</v>
      </c>
      <c r="G80" s="12" t="s">
        <v>2</v>
      </c>
      <c r="H80" s="12" t="s">
        <v>467</v>
      </c>
      <c r="I80" s="15"/>
      <c r="J80" s="15"/>
      <c r="K80" s="15"/>
      <c r="L80" s="15"/>
      <c r="M80" s="15"/>
    </row>
    <row r="81" spans="1:13" x14ac:dyDescent="0.25">
      <c r="A81" s="12" t="s">
        <v>117</v>
      </c>
      <c r="B81" s="19" t="s">
        <v>468</v>
      </c>
      <c r="C81" s="12" t="s">
        <v>290</v>
      </c>
      <c r="D81" s="12" t="s">
        <v>119</v>
      </c>
      <c r="E81" s="12" t="s">
        <v>110</v>
      </c>
      <c r="F81" s="12" t="s">
        <v>469</v>
      </c>
      <c r="G81" s="12" t="s">
        <v>2</v>
      </c>
      <c r="H81" s="12" t="s">
        <v>470</v>
      </c>
      <c r="I81" s="15"/>
      <c r="J81" s="15"/>
      <c r="K81" s="15"/>
      <c r="L81" s="15"/>
      <c r="M81" s="15"/>
    </row>
    <row r="82" spans="1:13" x14ac:dyDescent="0.25">
      <c r="A82" s="12" t="s">
        <v>117</v>
      </c>
      <c r="B82" s="19" t="s">
        <v>471</v>
      </c>
      <c r="C82" s="12" t="s">
        <v>290</v>
      </c>
      <c r="D82" s="12" t="s">
        <v>119</v>
      </c>
      <c r="E82" s="12" t="s">
        <v>110</v>
      </c>
      <c r="F82" s="12" t="s">
        <v>472</v>
      </c>
      <c r="G82" s="12" t="s">
        <v>2</v>
      </c>
      <c r="H82" s="12" t="s">
        <v>473</v>
      </c>
      <c r="I82" s="15"/>
      <c r="J82" s="15"/>
      <c r="K82" s="15"/>
      <c r="L82" s="15"/>
      <c r="M82" s="15"/>
    </row>
    <row r="83" spans="1:13" x14ac:dyDescent="0.25">
      <c r="A83" s="12" t="s">
        <v>121</v>
      </c>
      <c r="B83" s="19" t="s">
        <v>474</v>
      </c>
      <c r="C83" s="12" t="s">
        <v>290</v>
      </c>
      <c r="D83" s="12" t="s">
        <v>119</v>
      </c>
      <c r="E83" s="12" t="s">
        <v>115</v>
      </c>
      <c r="F83" s="12" t="s">
        <v>475</v>
      </c>
      <c r="G83" s="12" t="s">
        <v>2</v>
      </c>
      <c r="H83" s="12" t="s">
        <v>476</v>
      </c>
      <c r="I83" s="15"/>
      <c r="J83" s="15"/>
      <c r="K83" s="15"/>
      <c r="L83" s="15"/>
      <c r="M83" s="15"/>
    </row>
    <row r="84" spans="1:13" x14ac:dyDescent="0.25">
      <c r="A84" s="12" t="s">
        <v>121</v>
      </c>
      <c r="B84" s="19" t="s">
        <v>477</v>
      </c>
      <c r="C84" s="12" t="s">
        <v>290</v>
      </c>
      <c r="D84" s="12" t="s">
        <v>119</v>
      </c>
      <c r="E84" s="12" t="s">
        <v>115</v>
      </c>
      <c r="F84" s="12" t="s">
        <v>478</v>
      </c>
      <c r="G84" s="12" t="s">
        <v>2</v>
      </c>
      <c r="H84" s="12" t="s">
        <v>479</v>
      </c>
      <c r="I84" s="15"/>
      <c r="J84" s="15"/>
      <c r="K84" s="15"/>
      <c r="L84" s="15"/>
      <c r="M84" s="15"/>
    </row>
    <row r="85" spans="1:13" x14ac:dyDescent="0.25">
      <c r="A85" s="12" t="s">
        <v>125</v>
      </c>
      <c r="B85" s="19" t="s">
        <v>127</v>
      </c>
      <c r="C85" s="12" t="s">
        <v>290</v>
      </c>
      <c r="D85" s="12" t="s">
        <v>119</v>
      </c>
      <c r="E85" s="12" t="s">
        <v>110</v>
      </c>
      <c r="F85" s="12" t="s">
        <v>480</v>
      </c>
      <c r="G85" s="12" t="s">
        <v>481</v>
      </c>
      <c r="H85" s="12" t="s">
        <v>482</v>
      </c>
      <c r="I85" s="15"/>
      <c r="J85" s="15"/>
      <c r="K85" s="15"/>
      <c r="L85" s="15"/>
      <c r="M85" s="15"/>
    </row>
    <row r="86" spans="1:13" x14ac:dyDescent="0.25">
      <c r="A86" s="12" t="s">
        <v>128</v>
      </c>
      <c r="B86" s="19" t="s">
        <v>131</v>
      </c>
      <c r="C86" s="12" t="s">
        <v>290</v>
      </c>
      <c r="D86" s="12" t="s">
        <v>119</v>
      </c>
      <c r="E86" s="12" t="s">
        <v>130</v>
      </c>
      <c r="F86" s="12" t="s">
        <v>483</v>
      </c>
      <c r="G86" s="12" t="s">
        <v>2</v>
      </c>
      <c r="H86" s="12" t="s">
        <v>484</v>
      </c>
      <c r="I86" s="15"/>
      <c r="J86" s="15"/>
      <c r="K86" s="15"/>
      <c r="L86" s="15"/>
      <c r="M86" s="15"/>
    </row>
    <row r="87" spans="1:13" x14ac:dyDescent="0.25">
      <c r="A87" s="12" t="s">
        <v>132</v>
      </c>
      <c r="B87" s="19" t="s">
        <v>135</v>
      </c>
      <c r="C87" s="12" t="s">
        <v>290</v>
      </c>
      <c r="D87" s="12" t="s">
        <v>134</v>
      </c>
      <c r="E87" s="12" t="s">
        <v>115</v>
      </c>
      <c r="F87" s="12" t="s">
        <v>485</v>
      </c>
      <c r="G87" s="12" t="s">
        <v>2</v>
      </c>
      <c r="H87" s="12" t="s">
        <v>486</v>
      </c>
      <c r="I87" s="15"/>
      <c r="J87" s="15"/>
      <c r="K87" s="15"/>
      <c r="L87" s="15"/>
      <c r="M87" s="15"/>
    </row>
    <row r="88" spans="1:13" x14ac:dyDescent="0.25">
      <c r="A88" s="12" t="s">
        <v>136</v>
      </c>
      <c r="B88" s="19" t="s">
        <v>138</v>
      </c>
      <c r="C88" s="12" t="s">
        <v>290</v>
      </c>
      <c r="D88" s="12" t="s">
        <v>134</v>
      </c>
      <c r="E88" s="12" t="s">
        <v>110</v>
      </c>
      <c r="F88" s="12" t="s">
        <v>487</v>
      </c>
      <c r="G88" s="12" t="s">
        <v>2</v>
      </c>
      <c r="H88" s="12" t="s">
        <v>488</v>
      </c>
      <c r="I88" s="15"/>
      <c r="J88" s="15"/>
      <c r="K88" s="15"/>
      <c r="L88" s="15"/>
      <c r="M88" s="15"/>
    </row>
    <row r="89" spans="1:13" x14ac:dyDescent="0.25">
      <c r="A89" s="12" t="s">
        <v>139</v>
      </c>
      <c r="B89" s="19" t="s">
        <v>142</v>
      </c>
      <c r="C89" s="12" t="s">
        <v>290</v>
      </c>
      <c r="D89" s="12" t="s">
        <v>134</v>
      </c>
      <c r="E89" s="12" t="s">
        <v>141</v>
      </c>
      <c r="F89" s="12" t="s">
        <v>489</v>
      </c>
      <c r="G89" s="12" t="s">
        <v>2</v>
      </c>
      <c r="H89" s="12" t="s">
        <v>490</v>
      </c>
      <c r="I89" s="15"/>
      <c r="J89" s="15"/>
      <c r="K89" s="15"/>
      <c r="L89" s="15"/>
      <c r="M89" s="15"/>
    </row>
    <row r="90" spans="1:13" x14ac:dyDescent="0.25">
      <c r="A90" s="12" t="s">
        <v>143</v>
      </c>
      <c r="B90" s="19" t="s">
        <v>147</v>
      </c>
      <c r="C90" s="12" t="s">
        <v>281</v>
      </c>
      <c r="D90" s="12" t="s">
        <v>145</v>
      </c>
      <c r="E90" s="12" t="s">
        <v>146</v>
      </c>
      <c r="F90" s="12" t="s">
        <v>491</v>
      </c>
      <c r="G90" s="12" t="s">
        <v>2</v>
      </c>
      <c r="H90" s="12" t="s">
        <v>492</v>
      </c>
      <c r="I90" s="15"/>
      <c r="J90" s="15"/>
      <c r="K90" s="15"/>
      <c r="L90" s="15"/>
      <c r="M90" s="15"/>
    </row>
    <row r="91" spans="1:13" x14ac:dyDescent="0.25">
      <c r="A91" s="12" t="s">
        <v>148</v>
      </c>
      <c r="B91" s="19" t="s">
        <v>150</v>
      </c>
      <c r="C91" s="12" t="s">
        <v>290</v>
      </c>
      <c r="D91" s="12" t="s">
        <v>145</v>
      </c>
      <c r="E91" s="12" t="s">
        <v>146</v>
      </c>
      <c r="F91" s="12" t="s">
        <v>493</v>
      </c>
      <c r="G91" s="12" t="s">
        <v>2</v>
      </c>
      <c r="H91" s="12" t="s">
        <v>494</v>
      </c>
      <c r="I91" s="15"/>
      <c r="J91" s="15"/>
      <c r="K91" s="15"/>
      <c r="L91" s="15"/>
      <c r="M91" s="15"/>
    </row>
    <row r="92" spans="1:13" x14ac:dyDescent="0.25">
      <c r="A92" s="12" t="s">
        <v>151</v>
      </c>
      <c r="B92" s="19" t="s">
        <v>155</v>
      </c>
      <c r="C92" s="12" t="s">
        <v>281</v>
      </c>
      <c r="D92" s="12" t="s">
        <v>153</v>
      </c>
      <c r="E92" s="12" t="s">
        <v>154</v>
      </c>
      <c r="F92" s="12" t="s">
        <v>495</v>
      </c>
      <c r="G92" s="12" t="s">
        <v>496</v>
      </c>
      <c r="H92" s="12" t="s">
        <v>497</v>
      </c>
      <c r="I92" s="15"/>
      <c r="J92" s="15"/>
      <c r="K92" s="15"/>
      <c r="L92" s="15"/>
      <c r="M92" s="15"/>
    </row>
    <row r="93" spans="1:13" x14ac:dyDescent="0.25">
      <c r="A93" s="12" t="s">
        <v>156</v>
      </c>
      <c r="B93" s="19" t="s">
        <v>498</v>
      </c>
      <c r="C93" s="12" t="s">
        <v>290</v>
      </c>
      <c r="D93" s="12" t="s">
        <v>158</v>
      </c>
      <c r="E93" s="12" t="s">
        <v>159</v>
      </c>
      <c r="F93" s="12" t="s">
        <v>499</v>
      </c>
      <c r="G93" s="12" t="s">
        <v>2</v>
      </c>
      <c r="H93" s="12" t="s">
        <v>500</v>
      </c>
      <c r="I93" s="15"/>
      <c r="J93" s="15"/>
      <c r="K93" s="15"/>
      <c r="L93" s="15"/>
      <c r="M93" s="15"/>
    </row>
    <row r="94" spans="1:13" x14ac:dyDescent="0.25">
      <c r="A94" s="12" t="s">
        <v>156</v>
      </c>
      <c r="B94" s="19" t="s">
        <v>501</v>
      </c>
      <c r="C94" s="12" t="s">
        <v>290</v>
      </c>
      <c r="D94" s="12" t="s">
        <v>158</v>
      </c>
      <c r="E94" s="12" t="s">
        <v>159</v>
      </c>
      <c r="F94" s="12" t="s">
        <v>502</v>
      </c>
      <c r="G94" s="12" t="s">
        <v>2</v>
      </c>
      <c r="H94" s="12" t="s">
        <v>503</v>
      </c>
      <c r="I94" s="15"/>
      <c r="J94" s="15"/>
      <c r="K94" s="15"/>
      <c r="L94" s="15"/>
      <c r="M94" s="15"/>
    </row>
    <row r="95" spans="1:13" x14ac:dyDescent="0.25">
      <c r="A95" s="12" t="s">
        <v>161</v>
      </c>
      <c r="B95" s="19" t="s">
        <v>163</v>
      </c>
      <c r="C95" s="12" t="s">
        <v>281</v>
      </c>
      <c r="D95" s="12" t="s">
        <v>158</v>
      </c>
      <c r="E95" s="12" t="s">
        <v>159</v>
      </c>
      <c r="F95" s="12" t="s">
        <v>504</v>
      </c>
      <c r="G95" s="12" t="s">
        <v>2</v>
      </c>
      <c r="H95" s="12" t="s">
        <v>505</v>
      </c>
      <c r="I95" s="15"/>
      <c r="J95" s="15"/>
      <c r="K95" s="15"/>
      <c r="L95" s="15"/>
      <c r="M95" s="15"/>
    </row>
    <row r="96" spans="1:13" x14ac:dyDescent="0.25">
      <c r="A96" s="12" t="s">
        <v>164</v>
      </c>
      <c r="B96" s="19" t="s">
        <v>506</v>
      </c>
      <c r="C96" s="12" t="s">
        <v>290</v>
      </c>
      <c r="D96" s="12" t="s">
        <v>166</v>
      </c>
      <c r="E96" s="12" t="s">
        <v>167</v>
      </c>
      <c r="F96" s="12" t="s">
        <v>507</v>
      </c>
      <c r="G96" s="12" t="s">
        <v>2</v>
      </c>
      <c r="H96" s="12" t="s">
        <v>508</v>
      </c>
      <c r="I96" s="15"/>
      <c r="J96" s="15"/>
      <c r="K96" s="15"/>
      <c r="L96" s="15"/>
      <c r="M96" s="15"/>
    </row>
    <row r="97" spans="1:13" x14ac:dyDescent="0.25">
      <c r="A97" s="12" t="s">
        <v>164</v>
      </c>
      <c r="B97" s="19" t="s">
        <v>509</v>
      </c>
      <c r="C97" s="12" t="s">
        <v>290</v>
      </c>
      <c r="D97" s="12" t="s">
        <v>166</v>
      </c>
      <c r="E97" s="12" t="s">
        <v>167</v>
      </c>
      <c r="F97" s="12" t="s">
        <v>510</v>
      </c>
      <c r="G97" s="12" t="s">
        <v>2</v>
      </c>
      <c r="H97" s="12" t="s">
        <v>511</v>
      </c>
      <c r="I97" s="15"/>
      <c r="J97" s="15"/>
      <c r="K97" s="15"/>
      <c r="L97" s="15"/>
      <c r="M97" s="15"/>
    </row>
    <row r="98" spans="1:13" x14ac:dyDescent="0.25">
      <c r="A98" s="12" t="s">
        <v>164</v>
      </c>
      <c r="B98" s="19" t="s">
        <v>512</v>
      </c>
      <c r="C98" s="12" t="s">
        <v>290</v>
      </c>
      <c r="D98" s="12" t="s">
        <v>166</v>
      </c>
      <c r="E98" s="12" t="s">
        <v>167</v>
      </c>
      <c r="F98" s="12" t="s">
        <v>513</v>
      </c>
      <c r="G98" s="12" t="s">
        <v>2</v>
      </c>
      <c r="H98" s="12" t="s">
        <v>514</v>
      </c>
      <c r="I98" s="15"/>
      <c r="J98" s="15"/>
      <c r="K98" s="15"/>
      <c r="L98" s="15"/>
      <c r="M98" s="15"/>
    </row>
    <row r="99" spans="1:13" x14ac:dyDescent="0.25">
      <c r="A99" s="12" t="s">
        <v>164</v>
      </c>
      <c r="B99" s="19" t="s">
        <v>515</v>
      </c>
      <c r="C99" s="12" t="s">
        <v>290</v>
      </c>
      <c r="D99" s="12" t="s">
        <v>166</v>
      </c>
      <c r="E99" s="12" t="s">
        <v>167</v>
      </c>
      <c r="F99" s="12" t="s">
        <v>516</v>
      </c>
      <c r="G99" s="12" t="s">
        <v>2</v>
      </c>
      <c r="H99" s="12" t="s">
        <v>517</v>
      </c>
      <c r="I99" s="15"/>
      <c r="J99" s="15"/>
      <c r="K99" s="15"/>
      <c r="L99" s="15"/>
      <c r="M99" s="15"/>
    </row>
    <row r="100" spans="1:13" x14ac:dyDescent="0.25">
      <c r="A100" s="12" t="s">
        <v>164</v>
      </c>
      <c r="B100" s="19" t="s">
        <v>518</v>
      </c>
      <c r="C100" s="12" t="s">
        <v>290</v>
      </c>
      <c r="D100" s="12" t="s">
        <v>166</v>
      </c>
      <c r="E100" s="12" t="s">
        <v>167</v>
      </c>
      <c r="F100" s="12" t="s">
        <v>519</v>
      </c>
      <c r="G100" s="12" t="s">
        <v>2</v>
      </c>
      <c r="H100" s="12" t="s">
        <v>520</v>
      </c>
      <c r="I100" s="15"/>
      <c r="J100" s="15"/>
      <c r="K100" s="15"/>
      <c r="L100" s="15"/>
      <c r="M100" s="15"/>
    </row>
    <row r="101" spans="1:13" x14ac:dyDescent="0.25">
      <c r="A101" s="12" t="s">
        <v>164</v>
      </c>
      <c r="B101" s="19" t="s">
        <v>521</v>
      </c>
      <c r="C101" s="12" t="s">
        <v>290</v>
      </c>
      <c r="D101" s="12" t="s">
        <v>166</v>
      </c>
      <c r="E101" s="12" t="s">
        <v>167</v>
      </c>
      <c r="F101" s="12" t="s">
        <v>522</v>
      </c>
      <c r="G101" s="12" t="s">
        <v>2</v>
      </c>
      <c r="H101" s="12" t="s">
        <v>523</v>
      </c>
      <c r="I101" s="15"/>
      <c r="J101" s="15"/>
      <c r="K101" s="15"/>
      <c r="L101" s="15"/>
      <c r="M101" s="15"/>
    </row>
    <row r="102" spans="1:13" x14ac:dyDescent="0.25">
      <c r="A102" s="12" t="s">
        <v>164</v>
      </c>
      <c r="B102" s="19" t="s">
        <v>524</v>
      </c>
      <c r="C102" s="12" t="s">
        <v>290</v>
      </c>
      <c r="D102" s="12" t="s">
        <v>166</v>
      </c>
      <c r="E102" s="12" t="s">
        <v>167</v>
      </c>
      <c r="F102" s="12" t="s">
        <v>525</v>
      </c>
      <c r="G102" s="12" t="s">
        <v>2</v>
      </c>
      <c r="H102" s="12" t="s">
        <v>526</v>
      </c>
      <c r="I102" s="15"/>
      <c r="J102" s="15"/>
      <c r="K102" s="15"/>
      <c r="L102" s="15"/>
      <c r="M102" s="15"/>
    </row>
    <row r="103" spans="1:13" x14ac:dyDescent="0.25">
      <c r="A103" s="12" t="s">
        <v>164</v>
      </c>
      <c r="B103" s="19" t="s">
        <v>527</v>
      </c>
      <c r="C103" s="12" t="s">
        <v>290</v>
      </c>
      <c r="D103" s="12" t="s">
        <v>166</v>
      </c>
      <c r="E103" s="12" t="s">
        <v>167</v>
      </c>
      <c r="F103" s="12" t="s">
        <v>528</v>
      </c>
      <c r="G103" s="12" t="s">
        <v>2</v>
      </c>
      <c r="H103" s="12" t="s">
        <v>529</v>
      </c>
      <c r="I103" s="15"/>
      <c r="J103" s="15"/>
      <c r="K103" s="15"/>
      <c r="L103" s="15"/>
      <c r="M103" s="15"/>
    </row>
    <row r="104" spans="1:13" x14ac:dyDescent="0.25">
      <c r="A104" s="12" t="s">
        <v>170</v>
      </c>
      <c r="B104" s="19" t="s">
        <v>174</v>
      </c>
      <c r="C104" s="12" t="s">
        <v>290</v>
      </c>
      <c r="D104" s="12" t="s">
        <v>172</v>
      </c>
      <c r="E104" s="12" t="s">
        <v>173</v>
      </c>
      <c r="F104" s="12" t="s">
        <v>530</v>
      </c>
      <c r="G104" s="12" t="s">
        <v>2</v>
      </c>
      <c r="H104" s="12" t="s">
        <v>2</v>
      </c>
      <c r="I104" s="15"/>
      <c r="J104" s="15"/>
      <c r="K104" s="15"/>
      <c r="L104" s="15"/>
      <c r="M104" s="15"/>
    </row>
    <row r="105" spans="1:13" x14ac:dyDescent="0.25">
      <c r="A105" s="12" t="s">
        <v>175</v>
      </c>
      <c r="B105" s="19" t="s">
        <v>178</v>
      </c>
      <c r="C105" s="12" t="s">
        <v>290</v>
      </c>
      <c r="D105" s="12" t="s">
        <v>172</v>
      </c>
      <c r="E105" s="12" t="s">
        <v>177</v>
      </c>
      <c r="F105" s="12" t="s">
        <v>531</v>
      </c>
      <c r="G105" s="12" t="s">
        <v>2</v>
      </c>
      <c r="H105" s="12" t="s">
        <v>2</v>
      </c>
      <c r="I105" s="15"/>
      <c r="J105" s="15"/>
      <c r="K105" s="15"/>
      <c r="L105" s="15"/>
      <c r="M105" s="15"/>
    </row>
    <row r="106" spans="1:13" x14ac:dyDescent="0.25">
      <c r="A106" s="12" t="s">
        <v>179</v>
      </c>
      <c r="B106" s="19" t="s">
        <v>182</v>
      </c>
      <c r="C106" s="12" t="s">
        <v>290</v>
      </c>
      <c r="D106" s="12" t="s">
        <v>172</v>
      </c>
      <c r="E106" s="12" t="s">
        <v>181</v>
      </c>
      <c r="F106" s="12" t="s">
        <v>532</v>
      </c>
      <c r="G106" s="12" t="s">
        <v>2</v>
      </c>
      <c r="H106" s="12" t="s">
        <v>2</v>
      </c>
      <c r="I106" s="15"/>
      <c r="J106" s="15"/>
      <c r="K106" s="15"/>
      <c r="L106" s="15"/>
      <c r="M106" s="15"/>
    </row>
    <row r="107" spans="1:13" x14ac:dyDescent="0.25">
      <c r="A107" s="12" t="s">
        <v>183</v>
      </c>
      <c r="B107" s="19" t="s">
        <v>186</v>
      </c>
      <c r="C107" s="12" t="s">
        <v>290</v>
      </c>
      <c r="D107" s="12" t="s">
        <v>172</v>
      </c>
      <c r="E107" s="12" t="s">
        <v>185</v>
      </c>
      <c r="F107" s="12" t="s">
        <v>533</v>
      </c>
      <c r="G107" s="12" t="s">
        <v>2</v>
      </c>
      <c r="H107" s="12" t="s">
        <v>2</v>
      </c>
      <c r="I107" s="15"/>
      <c r="J107" s="15"/>
      <c r="K107" s="15"/>
      <c r="L107" s="15"/>
      <c r="M107" s="15"/>
    </row>
    <row r="108" spans="1:13" x14ac:dyDescent="0.25">
      <c r="A108" s="12" t="s">
        <v>187</v>
      </c>
      <c r="B108" s="19" t="s">
        <v>534</v>
      </c>
      <c r="C108" s="12" t="s">
        <v>290</v>
      </c>
      <c r="D108" s="12" t="s">
        <v>189</v>
      </c>
      <c r="E108" s="12" t="s">
        <v>190</v>
      </c>
      <c r="F108" s="12" t="s">
        <v>535</v>
      </c>
      <c r="G108" s="12" t="s">
        <v>2</v>
      </c>
      <c r="H108" s="12" t="s">
        <v>2</v>
      </c>
      <c r="I108" s="15"/>
      <c r="J108" s="15"/>
      <c r="K108" s="15"/>
      <c r="L108" s="15"/>
      <c r="M108" s="15"/>
    </row>
    <row r="109" spans="1:13" x14ac:dyDescent="0.25">
      <c r="A109" s="12" t="s">
        <v>187</v>
      </c>
      <c r="B109" s="19" t="s">
        <v>536</v>
      </c>
      <c r="C109" s="12" t="s">
        <v>290</v>
      </c>
      <c r="D109" s="12" t="s">
        <v>189</v>
      </c>
      <c r="E109" s="12" t="s">
        <v>190</v>
      </c>
      <c r="F109" s="12" t="s">
        <v>537</v>
      </c>
      <c r="G109" s="12" t="s">
        <v>2</v>
      </c>
      <c r="H109" s="12" t="s">
        <v>2</v>
      </c>
      <c r="I109" s="15"/>
      <c r="J109" s="15"/>
      <c r="K109" s="15"/>
      <c r="L109" s="15"/>
      <c r="M109" s="15"/>
    </row>
  </sheetData>
  <autoFilter ref="A1:M109"/>
  <dataValidations count="4">
    <dataValidation type="list" allowBlank="1" sqref="I10:I109">
      <formula1>"Oui,Non"</formula1>
    </dataValidation>
    <dataValidation type="list" allowBlank="1" sqref="I2:I109">
      <formula1>"Oui,Non"</formula1>
    </dataValidation>
    <dataValidation type="list" allowBlank="1" sqref="J10:J109">
      <formula1>Listes!$A$2:$A$8</formula1>
    </dataValidation>
    <dataValidation type="list" allowBlank="1" sqref="J2:J109">
      <formula1>Listes!$A$2:$A$8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58" customWidth="1"/>
  </cols>
  <sheetData>
    <row r="1" ht="32" customHeight="1" spans="1:1" x14ac:dyDescent="0.25">
      <c r="A1" s="9" t="s">
        <v>538</v>
      </c>
    </row>
    <row r="2" spans="1:1" x14ac:dyDescent="0.25">
      <c r="A2" s="12" t="s">
        <v>539</v>
      </c>
    </row>
    <row r="3" spans="1:1" x14ac:dyDescent="0.25">
      <c r="A3" s="12" t="s">
        <v>45</v>
      </c>
    </row>
    <row r="4" spans="1:1" x14ac:dyDescent="0.25">
      <c r="A4" s="12" t="s">
        <v>540</v>
      </c>
    </row>
    <row r="5" spans="1:1" x14ac:dyDescent="0.25">
      <c r="A5" s="12" t="s">
        <v>541</v>
      </c>
    </row>
    <row r="6" spans="1:1" x14ac:dyDescent="0.25">
      <c r="A6" s="12" t="s">
        <v>542</v>
      </c>
    </row>
    <row r="7" spans="1:1" x14ac:dyDescent="0.25">
      <c r="A7" s="12" t="s">
        <v>543</v>
      </c>
    </row>
    <row r="8" spans="1:1" x14ac:dyDescent="0.25">
      <c r="A8" s="12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 d'emploi</vt:lpstr>
      <vt:lpstr>Relevé par groupe</vt:lpstr>
      <vt:lpstr>Engins</vt:lpstr>
      <vt:lpstr>Listes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BELEJ-CONSULTING — PerfectMaint</dc:creator>
  <dc:title/>
  <dc:subject/>
  <dc:description/>
  <cp:keywords/>
  <cp:category/>
  <cp:lastModifiedBy>Unknown</cp:lastModifiedBy>
  <dcterms:created xsi:type="dcterms:W3CDTF">2026-10-22T05:19:29Z</dcterms:created>
  <dcterms:modified xsi:type="dcterms:W3CDTF">2026-10-22T05:19:29Z</dcterms:modified>
</cp:coreProperties>
</file>