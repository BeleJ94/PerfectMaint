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c consolidé" state="visible" r:id="rId4"/>
    <sheet sheetId="2" name="Synthèse" state="visible" r:id="rId5"/>
    <sheet sheetId="3" name="Anomalies à corriger" state="visible" r:id="rId6"/>
  </sheets>
  <calcPr calcId="171027"/>
</workbook>
</file>

<file path=xl/sharedStrings.xml><?xml version="1.0" encoding="utf-8"?>
<sst xmlns="http://schemas.openxmlformats.org/spreadsheetml/2006/main" count="1078" uniqueCount="470">
  <si>
    <t>CHARROI AUTOMOBILE PERFECT LOGISTICS — PARC CONSOLIDÉ</t>
  </si>
  <si>
    <t>Perfect Logistics — consolidation des charrois CHEMAF, MUMI, KAMOA, KINGAKILA, SICOMINES — état au 15/10/2026 (dates relatives recalculées à l'ouverture). Réalisé par BELEJ-CONSULTING.</t>
  </si>
  <si>
    <t>N°</t>
  </si>
  <si>
    <t>Site</t>
  </si>
  <si>
    <t>N° ordre</t>
  </si>
  <si>
    <t>Désignation</t>
  </si>
  <si>
    <t>Marque</t>
  </si>
  <si>
    <t>Plaque</t>
  </si>
  <si>
    <t>N° châssis</t>
  </si>
  <si>
    <t>N° série</t>
  </si>
  <si>
    <t>Places</t>
  </si>
  <si>
    <t>Assureur</t>
  </si>
  <si>
    <t>N° police</t>
  </si>
  <si>
    <t>Émission</t>
  </si>
  <si>
    <t>Échéance</t>
  </si>
  <si>
    <t>Jours restants</t>
  </si>
  <si>
    <t>État assurance</t>
  </si>
  <si>
    <t>Statut</t>
  </si>
  <si>
    <t>Anomalies / remarques</t>
  </si>
  <si>
    <t>Source</t>
  </si>
  <si>
    <t>CHEMAF</t>
  </si>
  <si>
    <t>076</t>
  </si>
  <si>
    <t>HILUX</t>
  </si>
  <si>
    <t>TOYOTA</t>
  </si>
  <si>
    <t>8128AB14</t>
  </si>
  <si>
    <t>AHTKK8CD900684789</t>
  </si>
  <si>
    <t>Non renseigné</t>
  </si>
  <si>
    <t>CHAROITS PERFECT LOGISTICS CHEMAF.pdf</t>
  </si>
  <si>
    <t>052</t>
  </si>
  <si>
    <t>MAHINDRA</t>
  </si>
  <si>
    <t>6941AB14</t>
  </si>
  <si>
    <t>MA1RD4VP2038654</t>
  </si>
  <si>
    <t>Châssis tronqué (15 car.)</t>
  </si>
  <si>
    <t>092</t>
  </si>
  <si>
    <t>LOADER</t>
  </si>
  <si>
    <t>XCMG</t>
  </si>
  <si>
    <t>XUG0050GJPCB00056</t>
  </si>
  <si>
    <t>032</t>
  </si>
  <si>
    <t>GRADER</t>
  </si>
  <si>
    <t>BELL</t>
  </si>
  <si>
    <t>6902AA14</t>
  </si>
  <si>
    <t>1DW770GXKBC639971</t>
  </si>
  <si>
    <t>C04</t>
  </si>
  <si>
    <t>ROLLER</t>
  </si>
  <si>
    <t>BOMAG</t>
  </si>
  <si>
    <t>961582991150</t>
  </si>
  <si>
    <t>203</t>
  </si>
  <si>
    <t>BUS</t>
  </si>
  <si>
    <t>TATA</t>
  </si>
  <si>
    <t>6510AB14</t>
  </si>
  <si>
    <t>MAT462271P5L00126</t>
  </si>
  <si>
    <t>DOUBLON : châssis = SICOMINES 203, plaque = SICOMINES n°10</t>
  </si>
  <si>
    <t>017</t>
  </si>
  <si>
    <t>WATER BOWSER</t>
  </si>
  <si>
    <t>HOWO</t>
  </si>
  <si>
    <t>4397AM05</t>
  </si>
  <si>
    <t>LZZ5BLSF9GN192244</t>
  </si>
  <si>
    <t>016</t>
  </si>
  <si>
    <t>3567AK05</t>
  </si>
  <si>
    <t>LZZ5BLSF1FN079600</t>
  </si>
  <si>
    <t>105</t>
  </si>
  <si>
    <t>FUEL BOWSER</t>
  </si>
  <si>
    <t>6465AA24</t>
  </si>
  <si>
    <t>LZZ5BLSF2RN279972</t>
  </si>
  <si>
    <t>MUMI</t>
  </si>
  <si>
    <t>112</t>
  </si>
  <si>
    <t>7918AB14</t>
  </si>
  <si>
    <t>AHTKK8CD600685527</t>
  </si>
  <si>
    <t>Mayfair</t>
  </si>
  <si>
    <t>26-005-0000019078</t>
  </si>
  <si>
    <t>Opérationnel</t>
  </si>
  <si>
    <t>CHARROI ... MUMI SEPTEMBRE 2026 (PL-084)</t>
  </si>
  <si>
    <t>050</t>
  </si>
  <si>
    <t>PICK UP</t>
  </si>
  <si>
    <t>7113AB14</t>
  </si>
  <si>
    <t>MA1RD4VK2P2C32957</t>
  </si>
  <si>
    <t>26-005-0000028486</t>
  </si>
  <si>
    <t>En panne</t>
  </si>
  <si>
    <t>DOUBLON : repris par erreur en SICOMINES n°18</t>
  </si>
  <si>
    <t>106</t>
  </si>
  <si>
    <t>LAND CRUISER</t>
  </si>
  <si>
    <t>7239AN05</t>
  </si>
  <si>
    <t>JTERB71J40075329</t>
  </si>
  <si>
    <t>26-005-0000019109</t>
  </si>
  <si>
    <t>Châssis tronqué (16 car.)</t>
  </si>
  <si>
    <t>037</t>
  </si>
  <si>
    <t>4400AA14</t>
  </si>
  <si>
    <t>JTERB71J000062222</t>
  </si>
  <si>
    <t>26-005-0000028487</t>
  </si>
  <si>
    <t>Châssis corrigé (O → 0)</t>
  </si>
  <si>
    <t>107</t>
  </si>
  <si>
    <t>5905AB14</t>
  </si>
  <si>
    <t>AHTDK9CD600975538</t>
  </si>
  <si>
    <t>Pas d'assurance</t>
  </si>
  <si>
    <t>085</t>
  </si>
  <si>
    <t>5904AB14</t>
  </si>
  <si>
    <t>AHTDK9CD400975554</t>
  </si>
  <si>
    <t>26-005-0000019095</t>
  </si>
  <si>
    <t>Police sans échéance</t>
  </si>
  <si>
    <t>078</t>
  </si>
  <si>
    <t>CAMION</t>
  </si>
  <si>
    <t>FAW</t>
  </si>
  <si>
    <t>3072AB04</t>
  </si>
  <si>
    <t>LFNFVXMU3MADA2748</t>
  </si>
  <si>
    <t>26-005-0000019127</t>
  </si>
  <si>
    <t>090</t>
  </si>
  <si>
    <t>2468AB14</t>
  </si>
  <si>
    <t>LZZ5EXSE3JN389827</t>
  </si>
  <si>
    <t>26-005-0000019126</t>
  </si>
  <si>
    <t>068</t>
  </si>
  <si>
    <t>0153AC14</t>
  </si>
  <si>
    <t>LZZ5ELSD8MN887509</t>
  </si>
  <si>
    <t>26-005-0000019073</t>
  </si>
  <si>
    <t>057</t>
  </si>
  <si>
    <t>26667AB</t>
  </si>
  <si>
    <t>LZZ5ELSD9MN772790</t>
  </si>
  <si>
    <t>26-005-0000019128</t>
  </si>
  <si>
    <t>Plaque mal formée (2667AB14 ?)</t>
  </si>
  <si>
    <t>058</t>
  </si>
  <si>
    <t>2669AB14</t>
  </si>
  <si>
    <t>LZZ5ELSD2MN772792</t>
  </si>
  <si>
    <t>26-005-0000019129</t>
  </si>
  <si>
    <t>018</t>
  </si>
  <si>
    <t>2414AM05</t>
  </si>
  <si>
    <t>LZZ5BLNF2HW232395</t>
  </si>
  <si>
    <t>Hors numérotation, statut absent</t>
  </si>
  <si>
    <t>024</t>
  </si>
  <si>
    <t>8816AA14</t>
  </si>
  <si>
    <t>LZZ5BLNF5JD407689</t>
  </si>
  <si>
    <t>021</t>
  </si>
  <si>
    <t>ADT</t>
  </si>
  <si>
    <t>KOMATSU</t>
  </si>
  <si>
    <t>KMTHM013CRD009670</t>
  </si>
  <si>
    <t>9670</t>
  </si>
  <si>
    <t>022</t>
  </si>
  <si>
    <t>KMTHM013PRD009669</t>
  </si>
  <si>
    <t>9669</t>
  </si>
  <si>
    <t>025</t>
  </si>
  <si>
    <t>KMTHM013EPD009504</t>
  </si>
  <si>
    <t>9504</t>
  </si>
  <si>
    <t>06</t>
  </si>
  <si>
    <t>KMTHM013KRD009673</t>
  </si>
  <si>
    <t>9673</t>
  </si>
  <si>
    <t>N° proche de KAMOA 006</t>
  </si>
  <si>
    <t>03</t>
  </si>
  <si>
    <t>KMTHM013KND009165</t>
  </si>
  <si>
    <t>9165</t>
  </si>
  <si>
    <t>05</t>
  </si>
  <si>
    <t>CAT</t>
  </si>
  <si>
    <t>CAT00745A3F601060</t>
  </si>
  <si>
    <t>N° en double (générateur 05)</t>
  </si>
  <si>
    <t>027</t>
  </si>
  <si>
    <t>ROCK BREAKER</t>
  </si>
  <si>
    <t>IT2397</t>
  </si>
  <si>
    <t>KMTPC247TLC082397</t>
  </si>
  <si>
    <t>2397</t>
  </si>
  <si>
    <t>26-005-0000019058</t>
  </si>
  <si>
    <t>038</t>
  </si>
  <si>
    <t>EXCAVATOR</t>
  </si>
  <si>
    <t>IT1617</t>
  </si>
  <si>
    <t>KMTPC247CJ081617</t>
  </si>
  <si>
    <t>1617</t>
  </si>
  <si>
    <t>26-005-0000019103</t>
  </si>
  <si>
    <t>081</t>
  </si>
  <si>
    <t>KMTPC284ELC100121</t>
  </si>
  <si>
    <t>26-005-0000019079</t>
  </si>
  <si>
    <t>094</t>
  </si>
  <si>
    <t>KMTPC247ENC083565</t>
  </si>
  <si>
    <t>IT3565</t>
  </si>
  <si>
    <t>26-005-0000019084</t>
  </si>
  <si>
    <t>084</t>
  </si>
  <si>
    <t>VOLVO</t>
  </si>
  <si>
    <t>VCEC250DK00280513</t>
  </si>
  <si>
    <t>26-005-0000019077</t>
  </si>
  <si>
    <t>097</t>
  </si>
  <si>
    <t>KMTPC284CLC00122</t>
  </si>
  <si>
    <t>109</t>
  </si>
  <si>
    <t>P4BI0014</t>
  </si>
  <si>
    <t>Châssis incomplet</t>
  </si>
  <si>
    <t>900</t>
  </si>
  <si>
    <t>CAT0390FKGAY20180</t>
  </si>
  <si>
    <t>Stand-by</t>
  </si>
  <si>
    <t>113</t>
  </si>
  <si>
    <t>CAT00395JSGD40070</t>
  </si>
  <si>
    <t>07</t>
  </si>
  <si>
    <t>SCREEN</t>
  </si>
  <si>
    <t>STRIKER</t>
  </si>
  <si>
    <t>308818</t>
  </si>
  <si>
    <t>N° en double (compacteur 07)</t>
  </si>
  <si>
    <t>08</t>
  </si>
  <si>
    <t>WARRIOR</t>
  </si>
  <si>
    <t>Aucun identifiant</t>
  </si>
  <si>
    <t>09</t>
  </si>
  <si>
    <t>FINLAY</t>
  </si>
  <si>
    <t>010</t>
  </si>
  <si>
    <t>TEREX</t>
  </si>
  <si>
    <t>099</t>
  </si>
  <si>
    <t>ZL50GN</t>
  </si>
  <si>
    <t>XUG0050GHMCB24196</t>
  </si>
  <si>
    <t>036</t>
  </si>
  <si>
    <t>DOZER</t>
  </si>
  <si>
    <t>KMT0D105PJC087532</t>
  </si>
  <si>
    <t>D155A-6</t>
  </si>
  <si>
    <t>26-005-0000019098</t>
  </si>
  <si>
    <t>Assurance expirée (ou coquille 2027) ; même police que 933</t>
  </si>
  <si>
    <t>933</t>
  </si>
  <si>
    <t>CATCS583ADAJ00396</t>
  </si>
  <si>
    <t>48W48431</t>
  </si>
  <si>
    <t>Assurance expirée (ou coquille 2027) ; châssis double WDM03287/…</t>
  </si>
  <si>
    <t>907</t>
  </si>
  <si>
    <t>SHANTUI</t>
  </si>
  <si>
    <t>CHSD32AALN1007950</t>
  </si>
  <si>
    <t>02</t>
  </si>
  <si>
    <t>GENERATOR</t>
  </si>
  <si>
    <t>GEN-LIGHT</t>
  </si>
  <si>
    <t>150230325</t>
  </si>
  <si>
    <t>N° en double (compacteur 02)</t>
  </si>
  <si>
    <t>N° en double (ADT 05) ; aucun identifiant</t>
  </si>
  <si>
    <t>COMPACTOR</t>
  </si>
  <si>
    <t>101582432887</t>
  </si>
  <si>
    <t>N° en double (crible 07) ; statut absent</t>
  </si>
  <si>
    <t>961582991067</t>
  </si>
  <si>
    <t>N° en double (générateur 02) ; statut absent</t>
  </si>
  <si>
    <t>400</t>
  </si>
  <si>
    <t>FORKLIFT</t>
  </si>
  <si>
    <t>CHL</t>
  </si>
  <si>
    <t>010302S5309</t>
  </si>
  <si>
    <t>401</t>
  </si>
  <si>
    <t>010302S5308</t>
  </si>
  <si>
    <t>402</t>
  </si>
  <si>
    <t>010302R9353</t>
  </si>
  <si>
    <t>26-005-0000019070</t>
  </si>
  <si>
    <t>403</t>
  </si>
  <si>
    <t>010302R9352</t>
  </si>
  <si>
    <t>404</t>
  </si>
  <si>
    <t>010302R9355</t>
  </si>
  <si>
    <t>26-005-0000019074</t>
  </si>
  <si>
    <t>405</t>
  </si>
  <si>
    <t>010302E9356</t>
  </si>
  <si>
    <t>406</t>
  </si>
  <si>
    <t>010302T8967</t>
  </si>
  <si>
    <t>407</t>
  </si>
  <si>
    <t>010302R9357</t>
  </si>
  <si>
    <t>26-005-000001969</t>
  </si>
  <si>
    <t>N° de police tronqué</t>
  </si>
  <si>
    <t>222</t>
  </si>
  <si>
    <t>BUS MARCOPOLO</t>
  </si>
  <si>
    <t>IT0095</t>
  </si>
  <si>
    <t>MAT494051R8L0095</t>
  </si>
  <si>
    <t>Châssis tronqué ; plaque = n° interne</t>
  </si>
  <si>
    <t>216</t>
  </si>
  <si>
    <t>9096AB14</t>
  </si>
  <si>
    <t>MAT494051P8L00500</t>
  </si>
  <si>
    <t>SONAS</t>
  </si>
  <si>
    <t>N0600125024870</t>
  </si>
  <si>
    <t>ASSURANCE EXPIRÉE</t>
  </si>
  <si>
    <t>217</t>
  </si>
  <si>
    <t>9445AB14</t>
  </si>
  <si>
    <t>MAT494051P7L00710</t>
  </si>
  <si>
    <t>KAMOA</t>
  </si>
  <si>
    <t>030</t>
  </si>
  <si>
    <t>5982AB04</t>
  </si>
  <si>
    <t>JTEEB71J90F019123</t>
  </si>
  <si>
    <t>Charroi Kamoa octobre 2026.pdf</t>
  </si>
  <si>
    <t>103</t>
  </si>
  <si>
    <t>2003AT05</t>
  </si>
  <si>
    <t>JTENB712NB0335</t>
  </si>
  <si>
    <t>Châssis tronqué (14 car.)</t>
  </si>
  <si>
    <t>006</t>
  </si>
  <si>
    <t>3717AN05</t>
  </si>
  <si>
    <t>JTERB71J400064121</t>
  </si>
  <si>
    <t>005</t>
  </si>
  <si>
    <t>1761AJ05</t>
  </si>
  <si>
    <t>JTFBB71JXE4201558</t>
  </si>
  <si>
    <t>N° proche de MUMI 05</t>
  </si>
  <si>
    <t>048</t>
  </si>
  <si>
    <t>7060AB14</t>
  </si>
  <si>
    <t>ANTDK9CD200977125</t>
  </si>
  <si>
    <t>Châssis : ANT… probablement AHT…</t>
  </si>
  <si>
    <t>077</t>
  </si>
  <si>
    <t>7727AB14</t>
  </si>
  <si>
    <t>AHTKK8CD100685631</t>
  </si>
  <si>
    <t>101</t>
  </si>
  <si>
    <t>7062AB14</t>
  </si>
  <si>
    <t>AHTDK9CDX00977308</t>
  </si>
  <si>
    <t>102</t>
  </si>
  <si>
    <t>9801AB14</t>
  </si>
  <si>
    <t>AHTDK9CD200977397</t>
  </si>
  <si>
    <t>1</t>
  </si>
  <si>
    <t>1361AN05</t>
  </si>
  <si>
    <t>MAT462271HDL00600</t>
  </si>
  <si>
    <t>DOUBLON : = SICOMINES n°17</t>
  </si>
  <si>
    <t>201</t>
  </si>
  <si>
    <t>2940AF19</t>
  </si>
  <si>
    <t>462271EO1097</t>
  </si>
  <si>
    <t>DOUBLON : = SICOMINES n°11 ; châssis incomplet</t>
  </si>
  <si>
    <t>043</t>
  </si>
  <si>
    <t>SINOTRUCK</t>
  </si>
  <si>
    <t>3290AC22</t>
  </si>
  <si>
    <t>LZZ5EXSC0JN436133</t>
  </si>
  <si>
    <t>045</t>
  </si>
  <si>
    <t>3762AZ01</t>
  </si>
  <si>
    <t>LZZ5EXSE7JN389815</t>
  </si>
  <si>
    <t>066</t>
  </si>
  <si>
    <t>3063AB14</t>
  </si>
  <si>
    <t>LZZ5EXSE2MB073857</t>
  </si>
  <si>
    <t>067</t>
  </si>
  <si>
    <t>3064AB14</t>
  </si>
  <si>
    <t>LZZ5EXSEXMB073863</t>
  </si>
  <si>
    <t>087</t>
  </si>
  <si>
    <t>7086BJ01</t>
  </si>
  <si>
    <t>LZZ5EXSC3KN50972</t>
  </si>
  <si>
    <t>088</t>
  </si>
  <si>
    <t>4282BK01</t>
  </si>
  <si>
    <t>LZZ5EXSF2KN509787</t>
  </si>
  <si>
    <t>089</t>
  </si>
  <si>
    <t>4279BK01</t>
  </si>
  <si>
    <t>LZZ5EXSF6KN509789</t>
  </si>
  <si>
    <t>3236AC14</t>
  </si>
  <si>
    <t>LEZAD1EC3RF127194</t>
  </si>
  <si>
    <t>Sans n° d'ordre</t>
  </si>
  <si>
    <t>KINGAKILA</t>
  </si>
  <si>
    <t>208</t>
  </si>
  <si>
    <t>TATA 1318</t>
  </si>
  <si>
    <t>7055AB14</t>
  </si>
  <si>
    <t>MAT462271P5L00896</t>
  </si>
  <si>
    <t>DOUBLON : châssis = SICOMINES 206 ; n° 208 en double</t>
  </si>
  <si>
    <t>CHARROI KINGAKILA 2026.pdf</t>
  </si>
  <si>
    <t>7415AB14</t>
  </si>
  <si>
    <t>MAT462271P5L00899</t>
  </si>
  <si>
    <t>N° 208 en double</t>
  </si>
  <si>
    <t>214</t>
  </si>
  <si>
    <t>YUTONG</t>
  </si>
  <si>
    <t>6109AB14</t>
  </si>
  <si>
    <t>LZYTATE22N1007059</t>
  </si>
  <si>
    <t>215</t>
  </si>
  <si>
    <t>6107AB15</t>
  </si>
  <si>
    <t>LZYTATE22N1007057</t>
  </si>
  <si>
    <t>Plaque AB15 inhabituelle</t>
  </si>
  <si>
    <t>218</t>
  </si>
  <si>
    <t>0895AC14</t>
  </si>
  <si>
    <t>Châssis manquant</t>
  </si>
  <si>
    <t>219</t>
  </si>
  <si>
    <t>0880AC14</t>
  </si>
  <si>
    <t>MAT462271S5L00864</t>
  </si>
  <si>
    <t>DOUBLON : châssis = SICOMINES n°12</t>
  </si>
  <si>
    <t>220</t>
  </si>
  <si>
    <t>0877AC14</t>
  </si>
  <si>
    <t>MAT462271S5L00728</t>
  </si>
  <si>
    <t>221</t>
  </si>
  <si>
    <t>0729AC14</t>
  </si>
  <si>
    <t>223</t>
  </si>
  <si>
    <t>1143AC14</t>
  </si>
  <si>
    <t>0981AC14</t>
  </si>
  <si>
    <t>Châssis et n° d'ordre manquants</t>
  </si>
  <si>
    <t>SICOMINES</t>
  </si>
  <si>
    <t>5</t>
  </si>
  <si>
    <t>1366AN06</t>
  </si>
  <si>
    <t>MAT462271HDL00860</t>
  </si>
  <si>
    <t>charroi sicomines 2026.pdf</t>
  </si>
  <si>
    <t>202</t>
  </si>
  <si>
    <t>6535AB14</t>
  </si>
  <si>
    <t>MAT468271P5OO236</t>
  </si>
  <si>
    <t>Châssis erroné</t>
  </si>
  <si>
    <t>7043AB14</t>
  </si>
  <si>
    <t>DOUBLON : châssis = CHEMAF 203</t>
  </si>
  <si>
    <t>206</t>
  </si>
  <si>
    <t>7284AB14</t>
  </si>
  <si>
    <t>DOUBLON : châssis = KINGAKILA 208</t>
  </si>
  <si>
    <t>207</t>
  </si>
  <si>
    <t>7283AB14</t>
  </si>
  <si>
    <t>MAT462271P5L00778</t>
  </si>
  <si>
    <t>209</t>
  </si>
  <si>
    <t>7414AB14</t>
  </si>
  <si>
    <t>MAT462271P5L00897</t>
  </si>
  <si>
    <t>210</t>
  </si>
  <si>
    <t>7330AB14</t>
  </si>
  <si>
    <t>MAT462271P5L00688</t>
  </si>
  <si>
    <t>7331AB14</t>
  </si>
  <si>
    <t>MAT462271P5L00670</t>
  </si>
  <si>
    <t>6957AB14</t>
  </si>
  <si>
    <t>Sans n° d'ordre ni châssis</t>
  </si>
  <si>
    <t>DOUBLON : plaque = CHEMAF 203</t>
  </si>
  <si>
    <t>DOUBLON : plaque = KAMOA 201</t>
  </si>
  <si>
    <t>0878AC14</t>
  </si>
  <si>
    <t>DOUBLON : châssis = KINGAKILA 219</t>
  </si>
  <si>
    <t>0879AC14</t>
  </si>
  <si>
    <t>MAT42271P5L02343</t>
  </si>
  <si>
    <t>Châssis : MAT42271 → MAT462271 ?</t>
  </si>
  <si>
    <t>0256AC14</t>
  </si>
  <si>
    <t>MAT42271P5L02066</t>
  </si>
  <si>
    <t>3972AB14</t>
  </si>
  <si>
    <t>MAT42271P5L00167</t>
  </si>
  <si>
    <t>0165BA01</t>
  </si>
  <si>
    <t>MAT42271K0L00324</t>
  </si>
  <si>
    <t>MAT42271HDL00600</t>
  </si>
  <si>
    <t>DOUBLON : = KAMOA bus 1</t>
  </si>
  <si>
    <t>MA1RD4VK2C329</t>
  </si>
  <si>
    <t>ERREUR : c'est le pick-up MAHINDRA 050 de MUMI</t>
  </si>
  <si>
    <t>1070AB14</t>
  </si>
  <si>
    <t>MAT42271L0L00878</t>
  </si>
  <si>
    <t>1069AB14</t>
  </si>
  <si>
    <t>MAT42271L0L00889</t>
  </si>
  <si>
    <t>1068AB14</t>
  </si>
  <si>
    <t>MAT42271L0L00871</t>
  </si>
  <si>
    <t>SYNTHÈSE PAR SITE</t>
  </si>
  <si>
    <t>Total engins</t>
  </si>
  <si>
    <t>Statut non renseigné</t>
  </si>
  <si>
    <t>Taux dispo.</t>
  </si>
  <si>
    <t>Assurance expirée</t>
  </si>
  <si>
    <t>Sans assurance</t>
  </si>
  <si>
    <t>TOTAL</t>
  </si>
  <si>
    <t>Taux dispo. = opérationnels / engins dont le statut est renseigné (KINGAKILA et SICOMINES ne donnent aucun statut).</t>
  </si>
  <si>
    <t>RÉPARTITION PAR DÉSIGNATION</t>
  </si>
  <si>
    <t>Total</t>
  </si>
  <si>
    <t>ÉCHÉANCES D'ASSURANCE</t>
  </si>
  <si>
    <t>État</t>
  </si>
  <si>
    <t>Expirée</t>
  </si>
  <si>
    <t>Expire &lt; 30 j</t>
  </si>
  <si>
    <t>Expire &lt; 4 mois</t>
  </si>
  <si>
    <t>Valide</t>
  </si>
  <si>
    <t>Non assuré / inconnu</t>
  </si>
  <si>
    <t>ANOMALIES À FAIRE VALIDER PAR LES SITES</t>
  </si>
  <si>
    <t>Type</t>
  </si>
  <si>
    <t>Détail</t>
  </si>
  <si>
    <t>Action proposée</t>
  </si>
  <si>
    <t>Priorité</t>
  </si>
  <si>
    <t>Bus MARCOPOLO 216 et 217 (MUMI, SONAS) : échéance 14/10/2026</t>
  </si>
  <si>
    <t>Renouveler immédiatement</t>
  </si>
  <si>
    <t>Critique</t>
  </si>
  <si>
    <t>Dozers 036 KOMATSU et 933 CAT (MUMI) : échéance 06/02/2026, même n° de police 19098</t>
  </si>
  <si>
    <t>Vérifier : expirée ou coquille pour 2027</t>
  </si>
  <si>
    <t>Engin sur 2 sites</t>
  </si>
  <si>
    <t>Châssis MAT462271P5L00896 : KINGAKILA 208 (7055AB14) et SICOMINES 206 (7284AB14)</t>
  </si>
  <si>
    <t>Identifier le bon site / la bonne plaque</t>
  </si>
  <si>
    <t>Haute</t>
  </si>
  <si>
    <t>Châssis MAT462271S5L00864 : KINGAKILA 219 (0880AC14) et SICOMINES n°12 (0878AC14)</t>
  </si>
  <si>
    <t>Châssis MAT462271P5L00126 : CHEMAF 203 (6510AB14) et SICOMINES 203 (7043AB14) ; plaque 6510AB14 aussi en SICOMINES n°10</t>
  </si>
  <si>
    <t>Bus 1361AN05 : KAMOA bus 1 et SICOMINES n°17</t>
  </si>
  <si>
    <t>Identifier le site d'affectation</t>
  </si>
  <si>
    <t>Bus 2940AF19 : KAMOA bus 201 et SICOMINES n°11</t>
  </si>
  <si>
    <t>Erreur de saisie</t>
  </si>
  <si>
    <t>SICOMINES n°18 (7113AB14) = pick-up MAHINDRA 050 de MUMI, saisi comme bus TATA</t>
  </si>
  <si>
    <t>Supprimer de la liste SICOMINES</t>
  </si>
  <si>
    <t>N° d'ordre en double</t>
  </si>
  <si>
    <t>KINGAKILA : 208 attribué à deux bus</t>
  </si>
  <si>
    <t>Attribuer un nouveau n°</t>
  </si>
  <si>
    <t>MUMI : 05 (ADT CAT / générateur), 07 (crible / compacteur), 02 (générateur / compacteur) ; 05/005, 06/006 entre MUMI et KAMOA</t>
  </si>
  <si>
    <t>Adopter une codification unique (ex. préfixe site)</t>
  </si>
  <si>
    <t>N° d'ordre manquant</t>
  </si>
  <si>
    <t>14 bus SICOMINES, 1 bus KINGAKILA, 1 HOWO KAMOA (3236AC14)</t>
  </si>
  <si>
    <t>Attribuer un n° d'ordre</t>
  </si>
  <si>
    <t>Moyenne</t>
  </si>
  <si>
    <t>Châssis O/0</t>
  </si>
  <si>
    <t>Lettre O saisie au lieu du chiffre 0 (MUMI 037, 027, 038, 094, 036 ; KINGAKILA / SICOMINES « P5LOO… », « HDLOO… »)</t>
  </si>
  <si>
    <t>Corrigé dans le parc consolidé — à confirmer</t>
  </si>
  <si>
    <t>Basse</t>
  </si>
  <si>
    <t>MUMI 106, 097, 109, 222 ; CHEMAF 052 ; KAMOA 103, 087, 201 ; SICOMINES 202 et « MAT42271… » (×8)</t>
  </si>
  <si>
    <t>Relever le châssis sur l'engin</t>
  </si>
  <si>
    <t>Identifiant manquant</t>
  </si>
  <si>
    <t>Cribles 08, 09, 010, générateur 05 (MUMI) ; bus KINGAKILA 218, 221, 223, n°10 ; SICOMINES 6957AB14</t>
  </si>
  <si>
    <t>Relever châssis / n° de série</t>
  </si>
  <si>
    <t>MUMI 057 : « 26667AB » (2667AB14 ?) ; IT1617 / IT0095 / IT2397 sont des n° internes ; KINGAKILA 215 : 6107AB15</t>
  </si>
  <si>
    <t>Vérifier la carte grise</t>
  </si>
  <si>
    <t>Assurance manquante</t>
  </si>
  <si>
    <t>Une trentaine de lignes MUMI sans police ; KAMOA 077 ; aucune donnée d'assurance pour KINGAKILA et SICOMINES</t>
  </si>
  <si>
    <t>Transmettre les attestations</t>
  </si>
  <si>
    <t>Statut manquant</t>
  </si>
  <si>
    <t>MUMI HOWO 018, 024, compacteurs 07 et 02 ; tout KINGAKILA et SICOMINES</t>
  </si>
  <si>
    <t>Compléter le statut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</si>
</sst>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1" x14ac:knownFonts="1">
    <font>
      <color theme="1"/>
      <family val="2"/>
      <scheme val="minor"/>
      <sz val="11"/>
      <name val="Calibri"/>
    </font>
    <font>
      <b/>
      <color rgb="FF1F4E79"/>
      <sz val="14"/>
    </font>
    <font>
      <i/>
      <color rgb="FF595959"/>
    </font>
    <font>
      <b/>
      <color rgb="FFFFFFFF"/>
    </font>
    <font>
      <b/>
      <color rgb="FFC00000"/>
    </font>
    <font>
      <b/>
    </font>
    <font>
      <i/>
      <color rgb="FF595959"/>
      <sz val="9"/>
    </font>
    <font>
      <b/>
      <color rgb="FF1F4E79"/>
      <sz val="12"/>
    </font>
    <font>
      <b/>
      <color rgb="FF9C0006"/>
    </font>
    <font>
      <b/>
      <color rgb="FFC65911"/>
    </font>
    <font>
      <b/>
      <color rgb="FF595959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6FA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9" fontId="0" fillId="0" borderId="1" xfId="0" applyNumberFormat="1" applyBorder="1"/>
    <xf numFmtId="0" fontId="5" fillId="0" borderId="0" xfId="0" applyFont="1"/>
    <xf numFmtId="0" fontId="5" fillId="4" borderId="1" xfId="0" applyFont="1" applyFill="1" applyBorder="1"/>
    <xf numFmtId="9" fontId="5" fillId="4" borderId="1" xfId="0" applyNumberFormat="1" applyFont="1" applyFill="1" applyBorder="1"/>
    <xf numFmtId="0" fontId="6" fillId="0" borderId="0" xfId="0" applyFont="1"/>
    <xf numFmtId="0" fontId="7" fillId="0" borderId="0" xfId="0" applyFont="1"/>
    <xf numFmtId="0" fontId="0" fillId="0" borderId="1" xfId="0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</cellXfs>
  <cellStyles count="1">
    <cellStyle name="Normal" xfId="0" builtinId="0"/>
  </cellStyles>
  <dxfs count="8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595959"/>
      </font>
      <fill>
        <patternFill patternType="solid">
          <bgColor rgb="FFEDEDED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5700"/>
      </font>
      <fill>
        <patternFill patternType="solid">
          <bgColor rgb="FFFFEB9C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2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2" customWidth="1"/>
    <col min="4" max="4" width="17" customWidth="1"/>
    <col min="5" max="5" width="12" customWidth="1"/>
    <col min="6" max="6" width="11" customWidth="1"/>
    <col min="7" max="7" width="22" customWidth="1"/>
    <col min="8" max="8" width="11" customWidth="1"/>
    <col min="9" max="9" width="7" customWidth="1"/>
    <col min="10" max="10" width="10" customWidth="1"/>
    <col min="11" max="11" width="19" customWidth="1"/>
    <col min="12" max="13" width="11" customWidth="1"/>
    <col min="15" max="15" width="14" customWidth="1"/>
    <col min="16" max="16" width="13" customWidth="1"/>
    <col min="17" max="17" width="48" customWidth="1"/>
    <col min="18" max="18" width="3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32" customHeight="1" spans="1:1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</row>
    <row r="4" spans="1:18" x14ac:dyDescent="0.25">
      <c r="A4" s="4">
        <v>1</v>
      </c>
      <c r="B4" s="5" t="s">
        <v>20</v>
      </c>
      <c r="C4" s="4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/>
      <c r="I4" s="4"/>
      <c r="J4" s="5"/>
      <c r="K4" s="5"/>
      <c r="L4" s="6"/>
      <c r="M4" s="6">
        <v>46424</v>
      </c>
      <c r="N4" s="7">
        <f>IF(M4="","",M4-TODAY())</f>
      </c>
      <c r="O4" s="5">
        <f>IF(M4="","Non assuré / inconnu",IF(N4&lt;0,"Expirée",IF(N4&lt;=30,"Expire &lt; 30 j",IF(N4&lt;=120,"Expire &lt; 4 mois","Valide"))))</f>
      </c>
      <c r="P4" s="5" t="s">
        <v>26</v>
      </c>
      <c r="Q4" s="8"/>
      <c r="R4" s="5" t="s">
        <v>27</v>
      </c>
    </row>
    <row r="5" spans="1:18" x14ac:dyDescent="0.25">
      <c r="A5" s="9">
        <v>2</v>
      </c>
      <c r="B5" s="10" t="s">
        <v>20</v>
      </c>
      <c r="C5" s="9" t="s">
        <v>28</v>
      </c>
      <c r="D5" s="10" t="s">
        <v>29</v>
      </c>
      <c r="E5" s="10" t="s">
        <v>29</v>
      </c>
      <c r="F5" s="10" t="s">
        <v>30</v>
      </c>
      <c r="G5" s="10" t="s">
        <v>31</v>
      </c>
      <c r="H5" s="10"/>
      <c r="I5" s="9"/>
      <c r="J5" s="10"/>
      <c r="K5" s="10"/>
      <c r="L5" s="11"/>
      <c r="M5" s="11">
        <v>46424</v>
      </c>
      <c r="N5" s="12">
        <f>IF(M5="","",M5-TODAY())</f>
      </c>
      <c r="O5" s="10">
        <f>IF(M5="","Non assuré / inconnu",IF(N5&lt;0,"Expirée",IF(N5&lt;=30,"Expire &lt; 30 j",IF(N5&lt;=120,"Expire &lt; 4 mois","Valide"))))</f>
      </c>
      <c r="P5" s="10" t="s">
        <v>26</v>
      </c>
      <c r="Q5" s="13" t="s">
        <v>32</v>
      </c>
      <c r="R5" s="10" t="s">
        <v>27</v>
      </c>
    </row>
    <row r="6" spans="1:18" x14ac:dyDescent="0.25">
      <c r="A6" s="4">
        <v>3</v>
      </c>
      <c r="B6" s="5" t="s">
        <v>20</v>
      </c>
      <c r="C6" s="4" t="s">
        <v>33</v>
      </c>
      <c r="D6" s="5" t="s">
        <v>34</v>
      </c>
      <c r="E6" s="5" t="s">
        <v>35</v>
      </c>
      <c r="F6" s="5"/>
      <c r="G6" s="5" t="s">
        <v>36</v>
      </c>
      <c r="H6" s="5"/>
      <c r="I6" s="4"/>
      <c r="J6" s="5"/>
      <c r="K6" s="5"/>
      <c r="L6" s="6"/>
      <c r="M6" s="6"/>
      <c r="N6" s="7">
        <f>IF(M6="","",M6-TODAY())</f>
      </c>
      <c r="O6" s="5">
        <f>IF(M6="","Non assuré / inconnu",IF(N6&lt;0,"Expirée",IF(N6&lt;=30,"Expire &lt; 30 j",IF(N6&lt;=120,"Expire &lt; 4 mois","Valide"))))</f>
      </c>
      <c r="P6" s="5" t="s">
        <v>26</v>
      </c>
      <c r="Q6" s="8"/>
      <c r="R6" s="5" t="s">
        <v>27</v>
      </c>
    </row>
    <row r="7" spans="1:18" x14ac:dyDescent="0.25">
      <c r="A7" s="9">
        <v>4</v>
      </c>
      <c r="B7" s="10" t="s">
        <v>20</v>
      </c>
      <c r="C7" s="9" t="s">
        <v>37</v>
      </c>
      <c r="D7" s="10" t="s">
        <v>38</v>
      </c>
      <c r="E7" s="10" t="s">
        <v>39</v>
      </c>
      <c r="F7" s="10" t="s">
        <v>40</v>
      </c>
      <c r="G7" s="10" t="s">
        <v>41</v>
      </c>
      <c r="H7" s="10"/>
      <c r="I7" s="9"/>
      <c r="J7" s="10"/>
      <c r="K7" s="10"/>
      <c r="L7" s="11"/>
      <c r="M7" s="11"/>
      <c r="N7" s="12">
        <f>IF(M7="","",M7-TODAY())</f>
      </c>
      <c r="O7" s="10">
        <f>IF(M7="","Non assuré / inconnu",IF(N7&lt;0,"Expirée",IF(N7&lt;=30,"Expire &lt; 30 j",IF(N7&lt;=120,"Expire &lt; 4 mois","Valide"))))</f>
      </c>
      <c r="P7" s="10" t="s">
        <v>26</v>
      </c>
      <c r="Q7" s="13"/>
      <c r="R7" s="10" t="s">
        <v>27</v>
      </c>
    </row>
    <row r="8" spans="1:18" x14ac:dyDescent="0.25">
      <c r="A8" s="4">
        <v>5</v>
      </c>
      <c r="B8" s="5" t="s">
        <v>20</v>
      </c>
      <c r="C8" s="4" t="s">
        <v>42</v>
      </c>
      <c r="D8" s="5" t="s">
        <v>43</v>
      </c>
      <c r="E8" s="5" t="s">
        <v>44</v>
      </c>
      <c r="F8" s="5"/>
      <c r="G8" s="5" t="s">
        <v>45</v>
      </c>
      <c r="H8" s="5"/>
      <c r="I8" s="4"/>
      <c r="J8" s="5"/>
      <c r="K8" s="5"/>
      <c r="L8" s="6"/>
      <c r="M8" s="6"/>
      <c r="N8" s="7">
        <f>IF(M8="","",M8-TODAY())</f>
      </c>
      <c r="O8" s="5">
        <f>IF(M8="","Non assuré / inconnu",IF(N8&lt;0,"Expirée",IF(N8&lt;=30,"Expire &lt; 30 j",IF(N8&lt;=120,"Expire &lt; 4 mois","Valide"))))</f>
      </c>
      <c r="P8" s="5" t="s">
        <v>26</v>
      </c>
      <c r="Q8" s="8"/>
      <c r="R8" s="5" t="s">
        <v>27</v>
      </c>
    </row>
    <row r="9" spans="1:18" x14ac:dyDescent="0.25">
      <c r="A9" s="9">
        <v>6</v>
      </c>
      <c r="B9" s="10" t="s">
        <v>20</v>
      </c>
      <c r="C9" s="9" t="s">
        <v>46</v>
      </c>
      <c r="D9" s="10" t="s">
        <v>47</v>
      </c>
      <c r="E9" s="10" t="s">
        <v>48</v>
      </c>
      <c r="F9" s="10" t="s">
        <v>49</v>
      </c>
      <c r="G9" s="10" t="s">
        <v>50</v>
      </c>
      <c r="H9" s="10"/>
      <c r="I9" s="9"/>
      <c r="J9" s="10"/>
      <c r="K9" s="10"/>
      <c r="L9" s="11"/>
      <c r="M9" s="11">
        <v>46424</v>
      </c>
      <c r="N9" s="12">
        <f>IF(M9="","",M9-TODAY())</f>
      </c>
      <c r="O9" s="10">
        <f>IF(M9="","Non assuré / inconnu",IF(N9&lt;0,"Expirée",IF(N9&lt;=30,"Expire &lt; 30 j",IF(N9&lt;=120,"Expire &lt; 4 mois","Valide"))))</f>
      </c>
      <c r="P9" s="10" t="s">
        <v>26</v>
      </c>
      <c r="Q9" s="14" t="s">
        <v>51</v>
      </c>
      <c r="R9" s="10" t="s">
        <v>27</v>
      </c>
    </row>
    <row r="10" spans="1:18" x14ac:dyDescent="0.25">
      <c r="A10" s="4">
        <v>7</v>
      </c>
      <c r="B10" s="5" t="s">
        <v>20</v>
      </c>
      <c r="C10" s="4" t="s">
        <v>52</v>
      </c>
      <c r="D10" s="5" t="s">
        <v>53</v>
      </c>
      <c r="E10" s="5" t="s">
        <v>54</v>
      </c>
      <c r="F10" s="5" t="s">
        <v>55</v>
      </c>
      <c r="G10" s="5" t="s">
        <v>56</v>
      </c>
      <c r="H10" s="5"/>
      <c r="I10" s="4"/>
      <c r="J10" s="5"/>
      <c r="K10" s="5"/>
      <c r="L10" s="6"/>
      <c r="M10" s="6">
        <v>46424</v>
      </c>
      <c r="N10" s="7">
        <f>IF(M10="","",M10-TODAY())</f>
      </c>
      <c r="O10" s="5">
        <f>IF(M10="","Non assuré / inconnu",IF(N10&lt;0,"Expirée",IF(N10&lt;=30,"Expire &lt; 30 j",IF(N10&lt;=120,"Expire &lt; 4 mois","Valide"))))</f>
      </c>
      <c r="P10" s="5" t="s">
        <v>26</v>
      </c>
      <c r="Q10" s="8"/>
      <c r="R10" s="5" t="s">
        <v>27</v>
      </c>
    </row>
    <row r="11" spans="1:18" x14ac:dyDescent="0.25">
      <c r="A11" s="9">
        <v>8</v>
      </c>
      <c r="B11" s="10" t="s">
        <v>20</v>
      </c>
      <c r="C11" s="9" t="s">
        <v>57</v>
      </c>
      <c r="D11" s="10" t="s">
        <v>53</v>
      </c>
      <c r="E11" s="10" t="s">
        <v>54</v>
      </c>
      <c r="F11" s="10" t="s">
        <v>58</v>
      </c>
      <c r="G11" s="10" t="s">
        <v>59</v>
      </c>
      <c r="H11" s="10"/>
      <c r="I11" s="9"/>
      <c r="J11" s="10"/>
      <c r="K11" s="10"/>
      <c r="L11" s="11"/>
      <c r="M11" s="11">
        <v>46424</v>
      </c>
      <c r="N11" s="12">
        <f>IF(M11="","",M11-TODAY())</f>
      </c>
      <c r="O11" s="10">
        <f>IF(M11="","Non assuré / inconnu",IF(N11&lt;0,"Expirée",IF(N11&lt;=30,"Expire &lt; 30 j",IF(N11&lt;=120,"Expire &lt; 4 mois","Valide"))))</f>
      </c>
      <c r="P11" s="10" t="s">
        <v>26</v>
      </c>
      <c r="Q11" s="13"/>
      <c r="R11" s="10" t="s">
        <v>27</v>
      </c>
    </row>
    <row r="12" spans="1:18" x14ac:dyDescent="0.25">
      <c r="A12" s="4">
        <v>9</v>
      </c>
      <c r="B12" s="5" t="s">
        <v>20</v>
      </c>
      <c r="C12" s="4" t="s">
        <v>60</v>
      </c>
      <c r="D12" s="5" t="s">
        <v>61</v>
      </c>
      <c r="E12" s="5" t="s">
        <v>54</v>
      </c>
      <c r="F12" s="5" t="s">
        <v>62</v>
      </c>
      <c r="G12" s="5" t="s">
        <v>63</v>
      </c>
      <c r="H12" s="5"/>
      <c r="I12" s="4"/>
      <c r="J12" s="5"/>
      <c r="K12" s="5"/>
      <c r="L12" s="6"/>
      <c r="M12" s="6">
        <v>46552</v>
      </c>
      <c r="N12" s="7">
        <f>IF(M12="","",M12-TODAY())</f>
      </c>
      <c r="O12" s="5">
        <f>IF(M12="","Non assuré / inconnu",IF(N12&lt;0,"Expirée",IF(N12&lt;=30,"Expire &lt; 30 j",IF(N12&lt;=120,"Expire &lt; 4 mois","Valide"))))</f>
      </c>
      <c r="P12" s="5" t="s">
        <v>26</v>
      </c>
      <c r="Q12" s="8"/>
      <c r="R12" s="5" t="s">
        <v>27</v>
      </c>
    </row>
    <row r="13" spans="1:18" x14ac:dyDescent="0.25">
      <c r="A13" s="9">
        <v>10</v>
      </c>
      <c r="B13" s="10" t="s">
        <v>64</v>
      </c>
      <c r="C13" s="9" t="s">
        <v>65</v>
      </c>
      <c r="D13" s="10" t="s">
        <v>22</v>
      </c>
      <c r="E13" s="10" t="s">
        <v>23</v>
      </c>
      <c r="F13" s="10" t="s">
        <v>66</v>
      </c>
      <c r="G13" s="10" t="s">
        <v>67</v>
      </c>
      <c r="H13" s="10"/>
      <c r="I13" s="9"/>
      <c r="J13" s="10" t="s">
        <v>68</v>
      </c>
      <c r="K13" s="10" t="s">
        <v>69</v>
      </c>
      <c r="L13" s="11"/>
      <c r="M13" s="11">
        <v>46424</v>
      </c>
      <c r="N13" s="12">
        <f>IF(M13="","",M13-TODAY())</f>
      </c>
      <c r="O13" s="10">
        <f>IF(M13="","Non assuré / inconnu",IF(N13&lt;0,"Expirée",IF(N13&lt;=30,"Expire &lt; 30 j",IF(N13&lt;=120,"Expire &lt; 4 mois","Valide"))))</f>
      </c>
      <c r="P13" s="10" t="s">
        <v>70</v>
      </c>
      <c r="Q13" s="13"/>
      <c r="R13" s="10" t="s">
        <v>71</v>
      </c>
    </row>
    <row r="14" spans="1:18" x14ac:dyDescent="0.25">
      <c r="A14" s="4">
        <v>11</v>
      </c>
      <c r="B14" s="5" t="s">
        <v>64</v>
      </c>
      <c r="C14" s="4" t="s">
        <v>72</v>
      </c>
      <c r="D14" s="5" t="s">
        <v>73</v>
      </c>
      <c r="E14" s="5" t="s">
        <v>29</v>
      </c>
      <c r="F14" s="5" t="s">
        <v>74</v>
      </c>
      <c r="G14" s="5" t="s">
        <v>75</v>
      </c>
      <c r="H14" s="5"/>
      <c r="I14" s="4"/>
      <c r="J14" s="5" t="s">
        <v>68</v>
      </c>
      <c r="K14" s="5" t="s">
        <v>76</v>
      </c>
      <c r="L14" s="6"/>
      <c r="M14" s="6">
        <v>46630</v>
      </c>
      <c r="N14" s="7">
        <f>IF(M14="","",M14-TODAY())</f>
      </c>
      <c r="O14" s="5">
        <f>IF(M14="","Non assuré / inconnu",IF(N14&lt;0,"Expirée",IF(N14&lt;=30,"Expire &lt; 30 j",IF(N14&lt;=120,"Expire &lt; 4 mois","Valide"))))</f>
      </c>
      <c r="P14" s="5" t="s">
        <v>77</v>
      </c>
      <c r="Q14" s="15" t="s">
        <v>78</v>
      </c>
      <c r="R14" s="5" t="s">
        <v>71</v>
      </c>
    </row>
    <row r="15" spans="1:18" x14ac:dyDescent="0.25">
      <c r="A15" s="9">
        <v>12</v>
      </c>
      <c r="B15" s="10" t="s">
        <v>64</v>
      </c>
      <c r="C15" s="9" t="s">
        <v>79</v>
      </c>
      <c r="D15" s="10" t="s">
        <v>80</v>
      </c>
      <c r="E15" s="10" t="s">
        <v>23</v>
      </c>
      <c r="F15" s="10" t="s">
        <v>81</v>
      </c>
      <c r="G15" s="10" t="s">
        <v>82</v>
      </c>
      <c r="H15" s="10"/>
      <c r="I15" s="9"/>
      <c r="J15" s="10" t="s">
        <v>68</v>
      </c>
      <c r="K15" s="10" t="s">
        <v>83</v>
      </c>
      <c r="L15" s="11"/>
      <c r="M15" s="11">
        <v>46605</v>
      </c>
      <c r="N15" s="12">
        <f>IF(M15="","",M15-TODAY())</f>
      </c>
      <c r="O15" s="10">
        <f>IF(M15="","Non assuré / inconnu",IF(N15&lt;0,"Expirée",IF(N15&lt;=30,"Expire &lt; 30 j",IF(N15&lt;=120,"Expire &lt; 4 mois","Valide"))))</f>
      </c>
      <c r="P15" s="10" t="s">
        <v>70</v>
      </c>
      <c r="Q15" s="13" t="s">
        <v>84</v>
      </c>
      <c r="R15" s="10" t="s">
        <v>71</v>
      </c>
    </row>
    <row r="16" spans="1:18" x14ac:dyDescent="0.25">
      <c r="A16" s="4">
        <v>13</v>
      </c>
      <c r="B16" s="5" t="s">
        <v>64</v>
      </c>
      <c r="C16" s="4" t="s">
        <v>85</v>
      </c>
      <c r="D16" s="5" t="s">
        <v>80</v>
      </c>
      <c r="E16" s="5" t="s">
        <v>23</v>
      </c>
      <c r="F16" s="5" t="s">
        <v>86</v>
      </c>
      <c r="G16" s="5" t="s">
        <v>87</v>
      </c>
      <c r="H16" s="5"/>
      <c r="I16" s="4"/>
      <c r="J16" s="5" t="s">
        <v>68</v>
      </c>
      <c r="K16" s="5" t="s">
        <v>88</v>
      </c>
      <c r="L16" s="6"/>
      <c r="M16" s="6">
        <v>46630</v>
      </c>
      <c r="N16" s="7">
        <f>IF(M16="","",M16-TODAY())</f>
      </c>
      <c r="O16" s="5">
        <f>IF(M16="","Non assuré / inconnu",IF(N16&lt;0,"Expirée",IF(N16&lt;=30,"Expire &lt; 30 j",IF(N16&lt;=120,"Expire &lt; 4 mois","Valide"))))</f>
      </c>
      <c r="P16" s="5" t="s">
        <v>70</v>
      </c>
      <c r="Q16" s="8" t="s">
        <v>89</v>
      </c>
      <c r="R16" s="5" t="s">
        <v>71</v>
      </c>
    </row>
    <row r="17" spans="1:18" x14ac:dyDescent="0.25">
      <c r="A17" s="9">
        <v>14</v>
      </c>
      <c r="B17" s="10" t="s">
        <v>64</v>
      </c>
      <c r="C17" s="9" t="s">
        <v>90</v>
      </c>
      <c r="D17" s="10" t="s">
        <v>22</v>
      </c>
      <c r="E17" s="10" t="s">
        <v>23</v>
      </c>
      <c r="F17" s="10" t="s">
        <v>91</v>
      </c>
      <c r="G17" s="10" t="s">
        <v>92</v>
      </c>
      <c r="H17" s="10"/>
      <c r="I17" s="9"/>
      <c r="J17" s="10"/>
      <c r="K17" s="10"/>
      <c r="L17" s="11"/>
      <c r="M17" s="11"/>
      <c r="N17" s="12">
        <f>IF(M17="","",M17-TODAY())</f>
      </c>
      <c r="O17" s="10">
        <f>IF(M17="","Non assuré / inconnu",IF(N17&lt;0,"Expirée",IF(N17&lt;=30,"Expire &lt; 30 j",IF(N17&lt;=120,"Expire &lt; 4 mois","Valide"))))</f>
      </c>
      <c r="P17" s="10" t="s">
        <v>70</v>
      </c>
      <c r="Q17" s="13" t="s">
        <v>93</v>
      </c>
      <c r="R17" s="10" t="s">
        <v>71</v>
      </c>
    </row>
    <row r="18" spans="1:18" x14ac:dyDescent="0.25">
      <c r="A18" s="4">
        <v>15</v>
      </c>
      <c r="B18" s="5" t="s">
        <v>64</v>
      </c>
      <c r="C18" s="4" t="s">
        <v>94</v>
      </c>
      <c r="D18" s="5" t="s">
        <v>22</v>
      </c>
      <c r="E18" s="5" t="s">
        <v>23</v>
      </c>
      <c r="F18" s="5" t="s">
        <v>95</v>
      </c>
      <c r="G18" s="5" t="s">
        <v>96</v>
      </c>
      <c r="H18" s="5"/>
      <c r="I18" s="4"/>
      <c r="J18" s="5"/>
      <c r="K18" s="5" t="s">
        <v>97</v>
      </c>
      <c r="L18" s="6"/>
      <c r="M18" s="6"/>
      <c r="N18" s="7">
        <f>IF(M18="","",M18-TODAY())</f>
      </c>
      <c r="O18" s="5">
        <f>IF(M18="","Non assuré / inconnu",IF(N18&lt;0,"Expirée",IF(N18&lt;=30,"Expire &lt; 30 j",IF(N18&lt;=120,"Expire &lt; 4 mois","Valide"))))</f>
      </c>
      <c r="P18" s="5" t="s">
        <v>70</v>
      </c>
      <c r="Q18" s="8" t="s">
        <v>98</v>
      </c>
      <c r="R18" s="5" t="s">
        <v>71</v>
      </c>
    </row>
    <row r="19" spans="1:18" x14ac:dyDescent="0.25">
      <c r="A19" s="9">
        <v>16</v>
      </c>
      <c r="B19" s="10" t="s">
        <v>64</v>
      </c>
      <c r="C19" s="9" t="s">
        <v>99</v>
      </c>
      <c r="D19" s="10" t="s">
        <v>100</v>
      </c>
      <c r="E19" s="10" t="s">
        <v>101</v>
      </c>
      <c r="F19" s="10" t="s">
        <v>102</v>
      </c>
      <c r="G19" s="10" t="s">
        <v>103</v>
      </c>
      <c r="H19" s="10"/>
      <c r="I19" s="9"/>
      <c r="J19" s="10"/>
      <c r="K19" s="10" t="s">
        <v>104</v>
      </c>
      <c r="L19" s="11"/>
      <c r="M19" s="11">
        <v>46424</v>
      </c>
      <c r="N19" s="12">
        <f>IF(M19="","",M19-TODAY())</f>
      </c>
      <c r="O19" s="10">
        <f>IF(M19="","Non assuré / inconnu",IF(N19&lt;0,"Expirée",IF(N19&lt;=30,"Expire &lt; 30 j",IF(N19&lt;=120,"Expire &lt; 4 mois","Valide"))))</f>
      </c>
      <c r="P19" s="10" t="s">
        <v>70</v>
      </c>
      <c r="Q19" s="13"/>
      <c r="R19" s="10" t="s">
        <v>71</v>
      </c>
    </row>
    <row r="20" spans="1:18" x14ac:dyDescent="0.25">
      <c r="A20" s="4">
        <v>17</v>
      </c>
      <c r="B20" s="5" t="s">
        <v>64</v>
      </c>
      <c r="C20" s="4" t="s">
        <v>105</v>
      </c>
      <c r="D20" s="5" t="s">
        <v>100</v>
      </c>
      <c r="E20" s="5" t="s">
        <v>54</v>
      </c>
      <c r="F20" s="5" t="s">
        <v>106</v>
      </c>
      <c r="G20" s="5" t="s">
        <v>107</v>
      </c>
      <c r="H20" s="5"/>
      <c r="I20" s="4"/>
      <c r="J20" s="5"/>
      <c r="K20" s="5" t="s">
        <v>108</v>
      </c>
      <c r="L20" s="6"/>
      <c r="M20" s="6">
        <v>46424</v>
      </c>
      <c r="N20" s="7">
        <f>IF(M20="","",M20-TODAY())</f>
      </c>
      <c r="O20" s="5">
        <f>IF(M20="","Non assuré / inconnu",IF(N20&lt;0,"Expirée",IF(N20&lt;=30,"Expire &lt; 30 j",IF(N20&lt;=120,"Expire &lt; 4 mois","Valide"))))</f>
      </c>
      <c r="P20" s="5" t="s">
        <v>70</v>
      </c>
      <c r="Q20" s="8"/>
      <c r="R20" s="5" t="s">
        <v>71</v>
      </c>
    </row>
    <row r="21" spans="1:18" x14ac:dyDescent="0.25">
      <c r="A21" s="9">
        <v>18</v>
      </c>
      <c r="B21" s="10" t="s">
        <v>64</v>
      </c>
      <c r="C21" s="9" t="s">
        <v>109</v>
      </c>
      <c r="D21" s="10" t="s">
        <v>100</v>
      </c>
      <c r="E21" s="10" t="s">
        <v>54</v>
      </c>
      <c r="F21" s="10" t="s">
        <v>110</v>
      </c>
      <c r="G21" s="10" t="s">
        <v>111</v>
      </c>
      <c r="H21" s="10"/>
      <c r="I21" s="9"/>
      <c r="J21" s="10"/>
      <c r="K21" s="10" t="s">
        <v>112</v>
      </c>
      <c r="L21" s="11"/>
      <c r="M21" s="11">
        <v>46424</v>
      </c>
      <c r="N21" s="12">
        <f>IF(M21="","",M21-TODAY())</f>
      </c>
      <c r="O21" s="10">
        <f>IF(M21="","Non assuré / inconnu",IF(N21&lt;0,"Expirée",IF(N21&lt;=30,"Expire &lt; 30 j",IF(N21&lt;=120,"Expire &lt; 4 mois","Valide"))))</f>
      </c>
      <c r="P21" s="10" t="s">
        <v>70</v>
      </c>
      <c r="Q21" s="13"/>
      <c r="R21" s="10" t="s">
        <v>71</v>
      </c>
    </row>
    <row r="22" spans="1:18" x14ac:dyDescent="0.25">
      <c r="A22" s="4">
        <v>19</v>
      </c>
      <c r="B22" s="5" t="s">
        <v>64</v>
      </c>
      <c r="C22" s="4" t="s">
        <v>113</v>
      </c>
      <c r="D22" s="5" t="s">
        <v>100</v>
      </c>
      <c r="E22" s="5" t="s">
        <v>54</v>
      </c>
      <c r="F22" s="5" t="s">
        <v>114</v>
      </c>
      <c r="G22" s="5" t="s">
        <v>115</v>
      </c>
      <c r="H22" s="5"/>
      <c r="I22" s="4"/>
      <c r="J22" s="5"/>
      <c r="K22" s="5" t="s">
        <v>116</v>
      </c>
      <c r="L22" s="6"/>
      <c r="M22" s="6">
        <v>46424</v>
      </c>
      <c r="N22" s="7">
        <f>IF(M22="","",M22-TODAY())</f>
      </c>
      <c r="O22" s="5">
        <f>IF(M22="","Non assuré / inconnu",IF(N22&lt;0,"Expirée",IF(N22&lt;=30,"Expire &lt; 30 j",IF(N22&lt;=120,"Expire &lt; 4 mois","Valide"))))</f>
      </c>
      <c r="P22" s="5" t="s">
        <v>70</v>
      </c>
      <c r="Q22" s="8" t="s">
        <v>117</v>
      </c>
      <c r="R22" s="5" t="s">
        <v>71</v>
      </c>
    </row>
    <row r="23" spans="1:18" x14ac:dyDescent="0.25">
      <c r="A23" s="9">
        <v>20</v>
      </c>
      <c r="B23" s="10" t="s">
        <v>64</v>
      </c>
      <c r="C23" s="9" t="s">
        <v>118</v>
      </c>
      <c r="D23" s="10" t="s">
        <v>100</v>
      </c>
      <c r="E23" s="10" t="s">
        <v>54</v>
      </c>
      <c r="F23" s="10" t="s">
        <v>119</v>
      </c>
      <c r="G23" s="10" t="s">
        <v>120</v>
      </c>
      <c r="H23" s="10"/>
      <c r="I23" s="9"/>
      <c r="J23" s="10"/>
      <c r="K23" s="10" t="s">
        <v>121</v>
      </c>
      <c r="L23" s="11"/>
      <c r="M23" s="11">
        <v>46424</v>
      </c>
      <c r="N23" s="12">
        <f>IF(M23="","",M23-TODAY())</f>
      </c>
      <c r="O23" s="10">
        <f>IF(M23="","Non assuré / inconnu",IF(N23&lt;0,"Expirée",IF(N23&lt;=30,"Expire &lt; 30 j",IF(N23&lt;=120,"Expire &lt; 4 mois","Valide"))))</f>
      </c>
      <c r="P23" s="10" t="s">
        <v>70</v>
      </c>
      <c r="Q23" s="13"/>
      <c r="R23" s="10" t="s">
        <v>71</v>
      </c>
    </row>
    <row r="24" spans="1:18" x14ac:dyDescent="0.25">
      <c r="A24" s="4">
        <v>21</v>
      </c>
      <c r="B24" s="5" t="s">
        <v>64</v>
      </c>
      <c r="C24" s="4" t="s">
        <v>122</v>
      </c>
      <c r="D24" s="5" t="s">
        <v>100</v>
      </c>
      <c r="E24" s="5" t="s">
        <v>54</v>
      </c>
      <c r="F24" s="5" t="s">
        <v>123</v>
      </c>
      <c r="G24" s="5" t="s">
        <v>124</v>
      </c>
      <c r="H24" s="5"/>
      <c r="I24" s="4"/>
      <c r="J24" s="5"/>
      <c r="K24" s="5"/>
      <c r="L24" s="6"/>
      <c r="M24" s="6"/>
      <c r="N24" s="7">
        <f>IF(M24="","",M24-TODAY())</f>
      </c>
      <c r="O24" s="5">
        <f>IF(M24="","Non assuré / inconnu",IF(N24&lt;0,"Expirée",IF(N24&lt;=30,"Expire &lt; 30 j",IF(N24&lt;=120,"Expire &lt; 4 mois","Valide"))))</f>
      </c>
      <c r="P24" s="5" t="s">
        <v>26</v>
      </c>
      <c r="Q24" s="8" t="s">
        <v>125</v>
      </c>
      <c r="R24" s="5" t="s">
        <v>71</v>
      </c>
    </row>
    <row r="25" spans="1:18" x14ac:dyDescent="0.25">
      <c r="A25" s="9">
        <v>22</v>
      </c>
      <c r="B25" s="10" t="s">
        <v>64</v>
      </c>
      <c r="C25" s="9" t="s">
        <v>126</v>
      </c>
      <c r="D25" s="10" t="s">
        <v>100</v>
      </c>
      <c r="E25" s="10" t="s">
        <v>54</v>
      </c>
      <c r="F25" s="10" t="s">
        <v>127</v>
      </c>
      <c r="G25" s="10" t="s">
        <v>128</v>
      </c>
      <c r="H25" s="10"/>
      <c r="I25" s="9"/>
      <c r="J25" s="10"/>
      <c r="K25" s="10"/>
      <c r="L25" s="11"/>
      <c r="M25" s="11"/>
      <c r="N25" s="12">
        <f>IF(M25="","",M25-TODAY())</f>
      </c>
      <c r="O25" s="10">
        <f>IF(M25="","Non assuré / inconnu",IF(N25&lt;0,"Expirée",IF(N25&lt;=30,"Expire &lt; 30 j",IF(N25&lt;=120,"Expire &lt; 4 mois","Valide"))))</f>
      </c>
      <c r="P25" s="10" t="s">
        <v>26</v>
      </c>
      <c r="Q25" s="13" t="s">
        <v>125</v>
      </c>
      <c r="R25" s="10" t="s">
        <v>71</v>
      </c>
    </row>
    <row r="26" spans="1:18" x14ac:dyDescent="0.25">
      <c r="A26" s="4">
        <v>23</v>
      </c>
      <c r="B26" s="5" t="s">
        <v>64</v>
      </c>
      <c r="C26" s="4" t="s">
        <v>129</v>
      </c>
      <c r="D26" s="5" t="s">
        <v>130</v>
      </c>
      <c r="E26" s="5" t="s">
        <v>131</v>
      </c>
      <c r="F26" s="5"/>
      <c r="G26" s="5" t="s">
        <v>132</v>
      </c>
      <c r="H26" s="5" t="s">
        <v>133</v>
      </c>
      <c r="I26" s="4"/>
      <c r="J26" s="5"/>
      <c r="K26" s="5"/>
      <c r="L26" s="6"/>
      <c r="M26" s="6"/>
      <c r="N26" s="7">
        <f>IF(M26="","",M26-TODAY())</f>
      </c>
      <c r="O26" s="5">
        <f>IF(M26="","Non assuré / inconnu",IF(N26&lt;0,"Expirée",IF(N26&lt;=30,"Expire &lt; 30 j",IF(N26&lt;=120,"Expire &lt; 4 mois","Valide"))))</f>
      </c>
      <c r="P26" s="5" t="s">
        <v>70</v>
      </c>
      <c r="Q26" s="8"/>
      <c r="R26" s="5" t="s">
        <v>71</v>
      </c>
    </row>
    <row r="27" spans="1:18" x14ac:dyDescent="0.25">
      <c r="A27" s="9">
        <v>24</v>
      </c>
      <c r="B27" s="10" t="s">
        <v>64</v>
      </c>
      <c r="C27" s="9" t="s">
        <v>134</v>
      </c>
      <c r="D27" s="10" t="s">
        <v>130</v>
      </c>
      <c r="E27" s="10" t="s">
        <v>131</v>
      </c>
      <c r="F27" s="10"/>
      <c r="G27" s="10" t="s">
        <v>135</v>
      </c>
      <c r="H27" s="10" t="s">
        <v>136</v>
      </c>
      <c r="I27" s="9"/>
      <c r="J27" s="10"/>
      <c r="K27" s="10"/>
      <c r="L27" s="11"/>
      <c r="M27" s="11"/>
      <c r="N27" s="12">
        <f>IF(M27="","",M27-TODAY())</f>
      </c>
      <c r="O27" s="10">
        <f>IF(M27="","Non assuré / inconnu",IF(N27&lt;0,"Expirée",IF(N27&lt;=30,"Expire &lt; 30 j",IF(N27&lt;=120,"Expire &lt; 4 mois","Valide"))))</f>
      </c>
      <c r="P27" s="10" t="s">
        <v>70</v>
      </c>
      <c r="Q27" s="13"/>
      <c r="R27" s="10" t="s">
        <v>71</v>
      </c>
    </row>
    <row r="28" spans="1:18" x14ac:dyDescent="0.25">
      <c r="A28" s="4">
        <v>25</v>
      </c>
      <c r="B28" s="5" t="s">
        <v>64</v>
      </c>
      <c r="C28" s="4" t="s">
        <v>137</v>
      </c>
      <c r="D28" s="5" t="s">
        <v>130</v>
      </c>
      <c r="E28" s="5" t="s">
        <v>131</v>
      </c>
      <c r="F28" s="5"/>
      <c r="G28" s="5" t="s">
        <v>138</v>
      </c>
      <c r="H28" s="5" t="s">
        <v>139</v>
      </c>
      <c r="I28" s="4"/>
      <c r="J28" s="5"/>
      <c r="K28" s="5"/>
      <c r="L28" s="6"/>
      <c r="M28" s="6"/>
      <c r="N28" s="7">
        <f>IF(M28="","",M28-TODAY())</f>
      </c>
      <c r="O28" s="5">
        <f>IF(M28="","Non assuré / inconnu",IF(N28&lt;0,"Expirée",IF(N28&lt;=30,"Expire &lt; 30 j",IF(N28&lt;=120,"Expire &lt; 4 mois","Valide"))))</f>
      </c>
      <c r="P28" s="5" t="s">
        <v>70</v>
      </c>
      <c r="Q28" s="8"/>
      <c r="R28" s="5" t="s">
        <v>71</v>
      </c>
    </row>
    <row r="29" spans="1:18" x14ac:dyDescent="0.25">
      <c r="A29" s="9">
        <v>26</v>
      </c>
      <c r="B29" s="10" t="s">
        <v>64</v>
      </c>
      <c r="C29" s="9" t="s">
        <v>140</v>
      </c>
      <c r="D29" s="10" t="s">
        <v>130</v>
      </c>
      <c r="E29" s="10" t="s">
        <v>131</v>
      </c>
      <c r="F29" s="10"/>
      <c r="G29" s="10" t="s">
        <v>141</v>
      </c>
      <c r="H29" s="10" t="s">
        <v>142</v>
      </c>
      <c r="I29" s="9"/>
      <c r="J29" s="10"/>
      <c r="K29" s="10"/>
      <c r="L29" s="11"/>
      <c r="M29" s="11"/>
      <c r="N29" s="12">
        <f>IF(M29="","",M29-TODAY())</f>
      </c>
      <c r="O29" s="10">
        <f>IF(M29="","Non assuré / inconnu",IF(N29&lt;0,"Expirée",IF(N29&lt;=30,"Expire &lt; 30 j",IF(N29&lt;=120,"Expire &lt; 4 mois","Valide"))))</f>
      </c>
      <c r="P29" s="10" t="s">
        <v>70</v>
      </c>
      <c r="Q29" s="13" t="s">
        <v>143</v>
      </c>
      <c r="R29" s="10" t="s">
        <v>71</v>
      </c>
    </row>
    <row r="30" spans="1:18" x14ac:dyDescent="0.25">
      <c r="A30" s="4">
        <v>27</v>
      </c>
      <c r="B30" s="5" t="s">
        <v>64</v>
      </c>
      <c r="C30" s="4" t="s">
        <v>144</v>
      </c>
      <c r="D30" s="5" t="s">
        <v>130</v>
      </c>
      <c r="E30" s="5" t="s">
        <v>131</v>
      </c>
      <c r="F30" s="5"/>
      <c r="G30" s="5" t="s">
        <v>145</v>
      </c>
      <c r="H30" s="5" t="s">
        <v>146</v>
      </c>
      <c r="I30" s="4"/>
      <c r="J30" s="5"/>
      <c r="K30" s="5"/>
      <c r="L30" s="6"/>
      <c r="M30" s="6"/>
      <c r="N30" s="7">
        <f>IF(M30="","",M30-TODAY())</f>
      </c>
      <c r="O30" s="5">
        <f>IF(M30="","Non assuré / inconnu",IF(N30&lt;0,"Expirée",IF(N30&lt;=30,"Expire &lt; 30 j",IF(N30&lt;=120,"Expire &lt; 4 mois","Valide"))))</f>
      </c>
      <c r="P30" s="5" t="s">
        <v>77</v>
      </c>
      <c r="Q30" s="8"/>
      <c r="R30" s="5" t="s">
        <v>71</v>
      </c>
    </row>
    <row r="31" spans="1:18" x14ac:dyDescent="0.25">
      <c r="A31" s="9">
        <v>28</v>
      </c>
      <c r="B31" s="10" t="s">
        <v>64</v>
      </c>
      <c r="C31" s="9" t="s">
        <v>147</v>
      </c>
      <c r="D31" s="10" t="s">
        <v>130</v>
      </c>
      <c r="E31" s="10" t="s">
        <v>148</v>
      </c>
      <c r="F31" s="10"/>
      <c r="G31" s="10" t="s">
        <v>149</v>
      </c>
      <c r="H31" s="10"/>
      <c r="I31" s="9"/>
      <c r="J31" s="10"/>
      <c r="K31" s="10"/>
      <c r="L31" s="11"/>
      <c r="M31" s="11"/>
      <c r="N31" s="12">
        <f>IF(M31="","",M31-TODAY())</f>
      </c>
      <c r="O31" s="10">
        <f>IF(M31="","Non assuré / inconnu",IF(N31&lt;0,"Expirée",IF(N31&lt;=30,"Expire &lt; 30 j",IF(N31&lt;=120,"Expire &lt; 4 mois","Valide"))))</f>
      </c>
      <c r="P31" s="10" t="s">
        <v>70</v>
      </c>
      <c r="Q31" s="13" t="s">
        <v>150</v>
      </c>
      <c r="R31" s="10" t="s">
        <v>71</v>
      </c>
    </row>
    <row r="32" spans="1:18" x14ac:dyDescent="0.25">
      <c r="A32" s="4">
        <v>29</v>
      </c>
      <c r="B32" s="5" t="s">
        <v>64</v>
      </c>
      <c r="C32" s="4" t="s">
        <v>151</v>
      </c>
      <c r="D32" s="5" t="s">
        <v>152</v>
      </c>
      <c r="E32" s="5" t="s">
        <v>131</v>
      </c>
      <c r="F32" s="5" t="s">
        <v>153</v>
      </c>
      <c r="G32" s="5" t="s">
        <v>154</v>
      </c>
      <c r="H32" s="5" t="s">
        <v>155</v>
      </c>
      <c r="I32" s="4"/>
      <c r="J32" s="5" t="s">
        <v>68</v>
      </c>
      <c r="K32" s="5" t="s">
        <v>156</v>
      </c>
      <c r="L32" s="6"/>
      <c r="M32" s="6">
        <v>46424</v>
      </c>
      <c r="N32" s="7">
        <f>IF(M32="","",M32-TODAY())</f>
      </c>
      <c r="O32" s="5">
        <f>IF(M32="","Non assuré / inconnu",IF(N32&lt;0,"Expirée",IF(N32&lt;=30,"Expire &lt; 30 j",IF(N32&lt;=120,"Expire &lt; 4 mois","Valide"))))</f>
      </c>
      <c r="P32" s="5" t="s">
        <v>77</v>
      </c>
      <c r="Q32" s="8" t="s">
        <v>89</v>
      </c>
      <c r="R32" s="5" t="s">
        <v>71</v>
      </c>
    </row>
    <row r="33" spans="1:18" x14ac:dyDescent="0.25">
      <c r="A33" s="9">
        <v>30</v>
      </c>
      <c r="B33" s="10" t="s">
        <v>64</v>
      </c>
      <c r="C33" s="9" t="s">
        <v>157</v>
      </c>
      <c r="D33" s="10" t="s">
        <v>158</v>
      </c>
      <c r="E33" s="10" t="s">
        <v>131</v>
      </c>
      <c r="F33" s="10" t="s">
        <v>159</v>
      </c>
      <c r="G33" s="10" t="s">
        <v>160</v>
      </c>
      <c r="H33" s="10" t="s">
        <v>161</v>
      </c>
      <c r="I33" s="9"/>
      <c r="J33" s="10" t="s">
        <v>68</v>
      </c>
      <c r="K33" s="10" t="s">
        <v>162</v>
      </c>
      <c r="L33" s="11"/>
      <c r="M33" s="11">
        <v>46424</v>
      </c>
      <c r="N33" s="12">
        <f>IF(M33="","",M33-TODAY())</f>
      </c>
      <c r="O33" s="10">
        <f>IF(M33="","Non assuré / inconnu",IF(N33&lt;0,"Expirée",IF(N33&lt;=30,"Expire &lt; 30 j",IF(N33&lt;=120,"Expire &lt; 4 mois","Valide"))))</f>
      </c>
      <c r="P33" s="10" t="s">
        <v>77</v>
      </c>
      <c r="Q33" s="13" t="s">
        <v>89</v>
      </c>
      <c r="R33" s="10" t="s">
        <v>71</v>
      </c>
    </row>
    <row r="34" spans="1:18" x14ac:dyDescent="0.25">
      <c r="A34" s="4">
        <v>31</v>
      </c>
      <c r="B34" s="5" t="s">
        <v>64</v>
      </c>
      <c r="C34" s="4" t="s">
        <v>163</v>
      </c>
      <c r="D34" s="5" t="s">
        <v>158</v>
      </c>
      <c r="E34" s="5" t="s">
        <v>131</v>
      </c>
      <c r="F34" s="5"/>
      <c r="G34" s="5" t="s">
        <v>164</v>
      </c>
      <c r="H34" s="5"/>
      <c r="I34" s="4"/>
      <c r="J34" s="5" t="s">
        <v>68</v>
      </c>
      <c r="K34" s="5" t="s">
        <v>165</v>
      </c>
      <c r="L34" s="6"/>
      <c r="M34" s="6">
        <v>46424</v>
      </c>
      <c r="N34" s="7">
        <f>IF(M34="","",M34-TODAY())</f>
      </c>
      <c r="O34" s="5">
        <f>IF(M34="","Non assuré / inconnu",IF(N34&lt;0,"Expirée",IF(N34&lt;=30,"Expire &lt; 30 j",IF(N34&lt;=120,"Expire &lt; 4 mois","Valide"))))</f>
      </c>
      <c r="P34" s="5" t="s">
        <v>77</v>
      </c>
      <c r="Q34" s="8"/>
      <c r="R34" s="5" t="s">
        <v>71</v>
      </c>
    </row>
    <row r="35" spans="1:18" x14ac:dyDescent="0.25">
      <c r="A35" s="9">
        <v>32</v>
      </c>
      <c r="B35" s="10" t="s">
        <v>64</v>
      </c>
      <c r="C35" s="9" t="s">
        <v>166</v>
      </c>
      <c r="D35" s="10" t="s">
        <v>158</v>
      </c>
      <c r="E35" s="10" t="s">
        <v>131</v>
      </c>
      <c r="F35" s="10"/>
      <c r="G35" s="10" t="s">
        <v>167</v>
      </c>
      <c r="H35" s="10" t="s">
        <v>168</v>
      </c>
      <c r="I35" s="9"/>
      <c r="J35" s="10" t="s">
        <v>68</v>
      </c>
      <c r="K35" s="10" t="s">
        <v>169</v>
      </c>
      <c r="L35" s="11"/>
      <c r="M35" s="11">
        <v>46424</v>
      </c>
      <c r="N35" s="12">
        <f>IF(M35="","",M35-TODAY())</f>
      </c>
      <c r="O35" s="10">
        <f>IF(M35="","Non assuré / inconnu",IF(N35&lt;0,"Expirée",IF(N35&lt;=30,"Expire &lt; 30 j",IF(N35&lt;=120,"Expire &lt; 4 mois","Valide"))))</f>
      </c>
      <c r="P35" s="10" t="s">
        <v>77</v>
      </c>
      <c r="Q35" s="13" t="s">
        <v>89</v>
      </c>
      <c r="R35" s="10" t="s">
        <v>71</v>
      </c>
    </row>
    <row r="36" spans="1:18" x14ac:dyDescent="0.25">
      <c r="A36" s="4">
        <v>33</v>
      </c>
      <c r="B36" s="5" t="s">
        <v>64</v>
      </c>
      <c r="C36" s="4" t="s">
        <v>170</v>
      </c>
      <c r="D36" s="5" t="s">
        <v>158</v>
      </c>
      <c r="E36" s="5" t="s">
        <v>171</v>
      </c>
      <c r="F36" s="5"/>
      <c r="G36" s="5" t="s">
        <v>172</v>
      </c>
      <c r="H36" s="5"/>
      <c r="I36" s="4"/>
      <c r="J36" s="5" t="s">
        <v>68</v>
      </c>
      <c r="K36" s="5" t="s">
        <v>173</v>
      </c>
      <c r="L36" s="6"/>
      <c r="M36" s="6">
        <v>46424</v>
      </c>
      <c r="N36" s="7">
        <f>IF(M36="","",M36-TODAY())</f>
      </c>
      <c r="O36" s="5">
        <f>IF(M36="","Non assuré / inconnu",IF(N36&lt;0,"Expirée",IF(N36&lt;=30,"Expire &lt; 30 j",IF(N36&lt;=120,"Expire &lt; 4 mois","Valide"))))</f>
      </c>
      <c r="P36" s="5" t="s">
        <v>70</v>
      </c>
      <c r="Q36" s="8"/>
      <c r="R36" s="5" t="s">
        <v>71</v>
      </c>
    </row>
    <row r="37" spans="1:18" x14ac:dyDescent="0.25">
      <c r="A37" s="9">
        <v>34</v>
      </c>
      <c r="B37" s="10" t="s">
        <v>64</v>
      </c>
      <c r="C37" s="9" t="s">
        <v>174</v>
      </c>
      <c r="D37" s="10" t="s">
        <v>158</v>
      </c>
      <c r="E37" s="10" t="s">
        <v>131</v>
      </c>
      <c r="F37" s="10"/>
      <c r="G37" s="10" t="s">
        <v>175</v>
      </c>
      <c r="H37" s="10"/>
      <c r="I37" s="9"/>
      <c r="J37" s="10"/>
      <c r="K37" s="10"/>
      <c r="L37" s="11"/>
      <c r="M37" s="11"/>
      <c r="N37" s="12">
        <f>IF(M37="","",M37-TODAY())</f>
      </c>
      <c r="O37" s="10">
        <f>IF(M37="","Non assuré / inconnu",IF(N37&lt;0,"Expirée",IF(N37&lt;=30,"Expire &lt; 30 j",IF(N37&lt;=120,"Expire &lt; 4 mois","Valide"))))</f>
      </c>
      <c r="P37" s="10" t="s">
        <v>70</v>
      </c>
      <c r="Q37" s="13" t="s">
        <v>84</v>
      </c>
      <c r="R37" s="10" t="s">
        <v>71</v>
      </c>
    </row>
    <row r="38" spans="1:18" x14ac:dyDescent="0.25">
      <c r="A38" s="4">
        <v>35</v>
      </c>
      <c r="B38" s="5" t="s">
        <v>64</v>
      </c>
      <c r="C38" s="4" t="s">
        <v>176</v>
      </c>
      <c r="D38" s="5" t="s">
        <v>158</v>
      </c>
      <c r="E38" s="5" t="s">
        <v>131</v>
      </c>
      <c r="F38" s="5"/>
      <c r="G38" s="5" t="s">
        <v>177</v>
      </c>
      <c r="H38" s="5"/>
      <c r="I38" s="4"/>
      <c r="J38" s="5"/>
      <c r="K38" s="5"/>
      <c r="L38" s="6"/>
      <c r="M38" s="6"/>
      <c r="N38" s="7">
        <f>IF(M38="","",M38-TODAY())</f>
      </c>
      <c r="O38" s="5">
        <f>IF(M38="","Non assuré / inconnu",IF(N38&lt;0,"Expirée",IF(N38&lt;=30,"Expire &lt; 30 j",IF(N38&lt;=120,"Expire &lt; 4 mois","Valide"))))</f>
      </c>
      <c r="P38" s="5" t="s">
        <v>70</v>
      </c>
      <c r="Q38" s="8" t="s">
        <v>178</v>
      </c>
      <c r="R38" s="5" t="s">
        <v>71</v>
      </c>
    </row>
    <row r="39" spans="1:18" x14ac:dyDescent="0.25">
      <c r="A39" s="9">
        <v>36</v>
      </c>
      <c r="B39" s="10" t="s">
        <v>64</v>
      </c>
      <c r="C39" s="9" t="s">
        <v>179</v>
      </c>
      <c r="D39" s="10" t="s">
        <v>158</v>
      </c>
      <c r="E39" s="10" t="s">
        <v>148</v>
      </c>
      <c r="F39" s="10"/>
      <c r="G39" s="10" t="s">
        <v>180</v>
      </c>
      <c r="H39" s="10"/>
      <c r="I39" s="9"/>
      <c r="J39" s="10"/>
      <c r="K39" s="10"/>
      <c r="L39" s="11"/>
      <c r="M39" s="11"/>
      <c r="N39" s="12">
        <f>IF(M39="","",M39-TODAY())</f>
      </c>
      <c r="O39" s="10">
        <f>IF(M39="","Non assuré / inconnu",IF(N39&lt;0,"Expirée",IF(N39&lt;=30,"Expire &lt; 30 j",IF(N39&lt;=120,"Expire &lt; 4 mois","Valide"))))</f>
      </c>
      <c r="P39" s="10" t="s">
        <v>181</v>
      </c>
      <c r="Q39" s="13"/>
      <c r="R39" s="10" t="s">
        <v>71</v>
      </c>
    </row>
    <row r="40" spans="1:18" x14ac:dyDescent="0.25">
      <c r="A40" s="4">
        <v>37</v>
      </c>
      <c r="B40" s="5" t="s">
        <v>64</v>
      </c>
      <c r="C40" s="4" t="s">
        <v>182</v>
      </c>
      <c r="D40" s="5" t="s">
        <v>158</v>
      </c>
      <c r="E40" s="5" t="s">
        <v>148</v>
      </c>
      <c r="F40" s="5"/>
      <c r="G40" s="5" t="s">
        <v>183</v>
      </c>
      <c r="H40" s="5"/>
      <c r="I40" s="4"/>
      <c r="J40" s="5"/>
      <c r="K40" s="5"/>
      <c r="L40" s="6"/>
      <c r="M40" s="6"/>
      <c r="N40" s="7">
        <f>IF(M40="","",M40-TODAY())</f>
      </c>
      <c r="O40" s="5">
        <f>IF(M40="","Non assuré / inconnu",IF(N40&lt;0,"Expirée",IF(N40&lt;=30,"Expire &lt; 30 j",IF(N40&lt;=120,"Expire &lt; 4 mois","Valide"))))</f>
      </c>
      <c r="P40" s="5" t="s">
        <v>70</v>
      </c>
      <c r="Q40" s="8"/>
      <c r="R40" s="5" t="s">
        <v>71</v>
      </c>
    </row>
    <row r="41" spans="1:18" x14ac:dyDescent="0.25">
      <c r="A41" s="9">
        <v>38</v>
      </c>
      <c r="B41" s="10" t="s">
        <v>64</v>
      </c>
      <c r="C41" s="9" t="s">
        <v>184</v>
      </c>
      <c r="D41" s="10" t="s">
        <v>185</v>
      </c>
      <c r="E41" s="10" t="s">
        <v>186</v>
      </c>
      <c r="F41" s="10"/>
      <c r="G41" s="10"/>
      <c r="H41" s="10" t="s">
        <v>187</v>
      </c>
      <c r="I41" s="9"/>
      <c r="J41" s="10"/>
      <c r="K41" s="10"/>
      <c r="L41" s="11"/>
      <c r="M41" s="11"/>
      <c r="N41" s="12">
        <f>IF(M41="","",M41-TODAY())</f>
      </c>
      <c r="O41" s="10">
        <f>IF(M41="","Non assuré / inconnu",IF(N41&lt;0,"Expirée",IF(N41&lt;=30,"Expire &lt; 30 j",IF(N41&lt;=120,"Expire &lt; 4 mois","Valide"))))</f>
      </c>
      <c r="P41" s="10" t="s">
        <v>77</v>
      </c>
      <c r="Q41" s="13" t="s">
        <v>188</v>
      </c>
      <c r="R41" s="10" t="s">
        <v>71</v>
      </c>
    </row>
    <row r="42" spans="1:18" x14ac:dyDescent="0.25">
      <c r="A42" s="4">
        <v>39</v>
      </c>
      <c r="B42" s="5" t="s">
        <v>64</v>
      </c>
      <c r="C42" s="4" t="s">
        <v>189</v>
      </c>
      <c r="D42" s="5" t="s">
        <v>185</v>
      </c>
      <c r="E42" s="5" t="s">
        <v>190</v>
      </c>
      <c r="F42" s="5"/>
      <c r="G42" s="5"/>
      <c r="H42" s="5"/>
      <c r="I42" s="4"/>
      <c r="J42" s="5"/>
      <c r="K42" s="5"/>
      <c r="L42" s="6"/>
      <c r="M42" s="6"/>
      <c r="N42" s="7">
        <f>IF(M42="","",M42-TODAY())</f>
      </c>
      <c r="O42" s="5">
        <f>IF(M42="","Non assuré / inconnu",IF(N42&lt;0,"Expirée",IF(N42&lt;=30,"Expire &lt; 30 j",IF(N42&lt;=120,"Expire &lt; 4 mois","Valide"))))</f>
      </c>
      <c r="P42" s="5" t="s">
        <v>77</v>
      </c>
      <c r="Q42" s="8" t="s">
        <v>191</v>
      </c>
      <c r="R42" s="5" t="s">
        <v>71</v>
      </c>
    </row>
    <row r="43" spans="1:18" x14ac:dyDescent="0.25">
      <c r="A43" s="9">
        <v>40</v>
      </c>
      <c r="B43" s="10" t="s">
        <v>64</v>
      </c>
      <c r="C43" s="9" t="s">
        <v>192</v>
      </c>
      <c r="D43" s="10" t="s">
        <v>185</v>
      </c>
      <c r="E43" s="10" t="s">
        <v>193</v>
      </c>
      <c r="F43" s="10"/>
      <c r="G43" s="10"/>
      <c r="H43" s="10"/>
      <c r="I43" s="9"/>
      <c r="J43" s="10"/>
      <c r="K43" s="10"/>
      <c r="L43" s="11"/>
      <c r="M43" s="11"/>
      <c r="N43" s="12">
        <f>IF(M43="","",M43-TODAY())</f>
      </c>
      <c r="O43" s="10">
        <f>IF(M43="","Non assuré / inconnu",IF(N43&lt;0,"Expirée",IF(N43&lt;=30,"Expire &lt; 30 j",IF(N43&lt;=120,"Expire &lt; 4 mois","Valide"))))</f>
      </c>
      <c r="P43" s="10" t="s">
        <v>181</v>
      </c>
      <c r="Q43" s="13" t="s">
        <v>191</v>
      </c>
      <c r="R43" s="10" t="s">
        <v>71</v>
      </c>
    </row>
    <row r="44" spans="1:18" x14ac:dyDescent="0.25">
      <c r="A44" s="4">
        <v>41</v>
      </c>
      <c r="B44" s="5" t="s">
        <v>64</v>
      </c>
      <c r="C44" s="4" t="s">
        <v>194</v>
      </c>
      <c r="D44" s="5" t="s">
        <v>185</v>
      </c>
      <c r="E44" s="5" t="s">
        <v>195</v>
      </c>
      <c r="F44" s="5"/>
      <c r="G44" s="5"/>
      <c r="H44" s="5"/>
      <c r="I44" s="4"/>
      <c r="J44" s="5"/>
      <c r="K44" s="5"/>
      <c r="L44" s="6"/>
      <c r="M44" s="6"/>
      <c r="N44" s="7">
        <f>IF(M44="","",M44-TODAY())</f>
      </c>
      <c r="O44" s="5">
        <f>IF(M44="","Non assuré / inconnu",IF(N44&lt;0,"Expirée",IF(N44&lt;=30,"Expire &lt; 30 j",IF(N44&lt;=120,"Expire &lt; 4 mois","Valide"))))</f>
      </c>
      <c r="P44" s="5" t="s">
        <v>181</v>
      </c>
      <c r="Q44" s="8" t="s">
        <v>191</v>
      </c>
      <c r="R44" s="5" t="s">
        <v>71</v>
      </c>
    </row>
    <row r="45" spans="1:18" x14ac:dyDescent="0.25">
      <c r="A45" s="9">
        <v>42</v>
      </c>
      <c r="B45" s="10" t="s">
        <v>64</v>
      </c>
      <c r="C45" s="9" t="s">
        <v>196</v>
      </c>
      <c r="D45" s="10" t="s">
        <v>34</v>
      </c>
      <c r="E45" s="10" t="s">
        <v>197</v>
      </c>
      <c r="F45" s="10"/>
      <c r="G45" s="10" t="s">
        <v>198</v>
      </c>
      <c r="H45" s="10"/>
      <c r="I45" s="9"/>
      <c r="J45" s="10"/>
      <c r="K45" s="10"/>
      <c r="L45" s="11"/>
      <c r="M45" s="11"/>
      <c r="N45" s="12">
        <f>IF(M45="","",M45-TODAY())</f>
      </c>
      <c r="O45" s="10">
        <f>IF(M45="","Non assuré / inconnu",IF(N45&lt;0,"Expirée",IF(N45&lt;=30,"Expire &lt; 30 j",IF(N45&lt;=120,"Expire &lt; 4 mois","Valide"))))</f>
      </c>
      <c r="P45" s="10" t="s">
        <v>70</v>
      </c>
      <c r="Q45" s="13"/>
      <c r="R45" s="10" t="s">
        <v>71</v>
      </c>
    </row>
    <row r="46" spans="1:18" x14ac:dyDescent="0.25">
      <c r="A46" s="4">
        <v>43</v>
      </c>
      <c r="B46" s="5" t="s">
        <v>64</v>
      </c>
      <c r="C46" s="4" t="s">
        <v>199</v>
      </c>
      <c r="D46" s="5" t="s">
        <v>200</v>
      </c>
      <c r="E46" s="5" t="s">
        <v>131</v>
      </c>
      <c r="F46" s="5"/>
      <c r="G46" s="5" t="s">
        <v>201</v>
      </c>
      <c r="H46" s="5" t="s">
        <v>202</v>
      </c>
      <c r="I46" s="4"/>
      <c r="J46" s="5" t="s">
        <v>68</v>
      </c>
      <c r="K46" s="5" t="s">
        <v>203</v>
      </c>
      <c r="L46" s="6"/>
      <c r="M46" s="6">
        <v>46059</v>
      </c>
      <c r="N46" s="7">
        <f>IF(M46="","",M46-TODAY())</f>
      </c>
      <c r="O46" s="5">
        <f>IF(M46="","Non assuré / inconnu",IF(N46&lt;0,"Expirée",IF(N46&lt;=30,"Expire &lt; 30 j",IF(N46&lt;=120,"Expire &lt; 4 mois","Valide"))))</f>
      </c>
      <c r="P46" s="5" t="s">
        <v>70</v>
      </c>
      <c r="Q46" s="15" t="s">
        <v>204</v>
      </c>
      <c r="R46" s="5" t="s">
        <v>71</v>
      </c>
    </row>
    <row r="47" spans="1:18" x14ac:dyDescent="0.25">
      <c r="A47" s="9">
        <v>44</v>
      </c>
      <c r="B47" s="10" t="s">
        <v>64</v>
      </c>
      <c r="C47" s="9" t="s">
        <v>205</v>
      </c>
      <c r="D47" s="10" t="s">
        <v>200</v>
      </c>
      <c r="E47" s="10" t="s">
        <v>148</v>
      </c>
      <c r="F47" s="10"/>
      <c r="G47" s="10" t="s">
        <v>206</v>
      </c>
      <c r="H47" s="10" t="s">
        <v>207</v>
      </c>
      <c r="I47" s="9"/>
      <c r="J47" s="10" t="s">
        <v>68</v>
      </c>
      <c r="K47" s="10" t="s">
        <v>203</v>
      </c>
      <c r="L47" s="11"/>
      <c r="M47" s="11">
        <v>46059</v>
      </c>
      <c r="N47" s="12">
        <f>IF(M47="","",M47-TODAY())</f>
      </c>
      <c r="O47" s="10">
        <f>IF(M47="","Non assuré / inconnu",IF(N47&lt;0,"Expirée",IF(N47&lt;=30,"Expire &lt; 30 j",IF(N47&lt;=120,"Expire &lt; 4 mois","Valide"))))</f>
      </c>
      <c r="P47" s="10" t="s">
        <v>70</v>
      </c>
      <c r="Q47" s="14" t="s">
        <v>208</v>
      </c>
      <c r="R47" s="10" t="s">
        <v>71</v>
      </c>
    </row>
    <row r="48" spans="1:18" x14ac:dyDescent="0.25">
      <c r="A48" s="4">
        <v>45</v>
      </c>
      <c r="B48" s="5" t="s">
        <v>64</v>
      </c>
      <c r="C48" s="4" t="s">
        <v>209</v>
      </c>
      <c r="D48" s="5" t="s">
        <v>200</v>
      </c>
      <c r="E48" s="5" t="s">
        <v>210</v>
      </c>
      <c r="F48" s="5"/>
      <c r="G48" s="5" t="s">
        <v>211</v>
      </c>
      <c r="H48" s="5"/>
      <c r="I48" s="4"/>
      <c r="J48" s="5"/>
      <c r="K48" s="5"/>
      <c r="L48" s="6"/>
      <c r="M48" s="6"/>
      <c r="N48" s="7">
        <f>IF(M48="","",M48-TODAY())</f>
      </c>
      <c r="O48" s="5">
        <f>IF(M48="","Non assuré / inconnu",IF(N48&lt;0,"Expirée",IF(N48&lt;=30,"Expire &lt; 30 j",IF(N48&lt;=120,"Expire &lt; 4 mois","Valide"))))</f>
      </c>
      <c r="P48" s="5" t="s">
        <v>70</v>
      </c>
      <c r="Q48" s="8"/>
      <c r="R48" s="5" t="s">
        <v>71</v>
      </c>
    </row>
    <row r="49" spans="1:18" x14ac:dyDescent="0.25">
      <c r="A49" s="9">
        <v>46</v>
      </c>
      <c r="B49" s="10" t="s">
        <v>64</v>
      </c>
      <c r="C49" s="9" t="s">
        <v>212</v>
      </c>
      <c r="D49" s="10" t="s">
        <v>213</v>
      </c>
      <c r="E49" s="10" t="s">
        <v>214</v>
      </c>
      <c r="F49" s="10"/>
      <c r="G49" s="10"/>
      <c r="H49" s="10" t="s">
        <v>215</v>
      </c>
      <c r="I49" s="9"/>
      <c r="J49" s="10"/>
      <c r="K49" s="10"/>
      <c r="L49" s="11"/>
      <c r="M49" s="11"/>
      <c r="N49" s="12">
        <f>IF(M49="","",M49-TODAY())</f>
      </c>
      <c r="O49" s="10">
        <f>IF(M49="","Non assuré / inconnu",IF(N49&lt;0,"Expirée",IF(N49&lt;=30,"Expire &lt; 30 j",IF(N49&lt;=120,"Expire &lt; 4 mois","Valide"))))</f>
      </c>
      <c r="P49" s="10" t="s">
        <v>70</v>
      </c>
      <c r="Q49" s="13" t="s">
        <v>216</v>
      </c>
      <c r="R49" s="10" t="s">
        <v>71</v>
      </c>
    </row>
    <row r="50" spans="1:18" x14ac:dyDescent="0.25">
      <c r="A50" s="4">
        <v>47</v>
      </c>
      <c r="B50" s="5" t="s">
        <v>64</v>
      </c>
      <c r="C50" s="4" t="s">
        <v>147</v>
      </c>
      <c r="D50" s="5" t="s">
        <v>213</v>
      </c>
      <c r="E50" s="5" t="s">
        <v>214</v>
      </c>
      <c r="F50" s="5"/>
      <c r="G50" s="5"/>
      <c r="H50" s="5"/>
      <c r="I50" s="4"/>
      <c r="J50" s="5"/>
      <c r="K50" s="5"/>
      <c r="L50" s="6"/>
      <c r="M50" s="6"/>
      <c r="N50" s="7">
        <f>IF(M50="","",M50-TODAY())</f>
      </c>
      <c r="O50" s="5">
        <f>IF(M50="","Non assuré / inconnu",IF(N50&lt;0,"Expirée",IF(N50&lt;=30,"Expire &lt; 30 j",IF(N50&lt;=120,"Expire &lt; 4 mois","Valide"))))</f>
      </c>
      <c r="P50" s="5" t="s">
        <v>77</v>
      </c>
      <c r="Q50" s="8" t="s">
        <v>217</v>
      </c>
      <c r="R50" s="5" t="s">
        <v>71</v>
      </c>
    </row>
    <row r="51" spans="1:18" x14ac:dyDescent="0.25">
      <c r="A51" s="9">
        <v>48</v>
      </c>
      <c r="B51" s="10" t="s">
        <v>64</v>
      </c>
      <c r="C51" s="9" t="s">
        <v>184</v>
      </c>
      <c r="D51" s="10" t="s">
        <v>218</v>
      </c>
      <c r="E51" s="10" t="s">
        <v>44</v>
      </c>
      <c r="F51" s="10"/>
      <c r="G51" s="10" t="s">
        <v>219</v>
      </c>
      <c r="H51" s="10"/>
      <c r="I51" s="9"/>
      <c r="J51" s="10"/>
      <c r="K51" s="10"/>
      <c r="L51" s="11"/>
      <c r="M51" s="11"/>
      <c r="N51" s="12">
        <f>IF(M51="","",M51-TODAY())</f>
      </c>
      <c r="O51" s="10">
        <f>IF(M51="","Non assuré / inconnu",IF(N51&lt;0,"Expirée",IF(N51&lt;=30,"Expire &lt; 30 j",IF(N51&lt;=120,"Expire &lt; 4 mois","Valide"))))</f>
      </c>
      <c r="P51" s="10" t="s">
        <v>26</v>
      </c>
      <c r="Q51" s="13" t="s">
        <v>220</v>
      </c>
      <c r="R51" s="10" t="s">
        <v>71</v>
      </c>
    </row>
    <row r="52" spans="1:18" x14ac:dyDescent="0.25">
      <c r="A52" s="4">
        <v>49</v>
      </c>
      <c r="B52" s="5" t="s">
        <v>64</v>
      </c>
      <c r="C52" s="4" t="s">
        <v>212</v>
      </c>
      <c r="D52" s="5" t="s">
        <v>218</v>
      </c>
      <c r="E52" s="5" t="s">
        <v>44</v>
      </c>
      <c r="F52" s="5"/>
      <c r="G52" s="5" t="s">
        <v>221</v>
      </c>
      <c r="H52" s="5"/>
      <c r="I52" s="4"/>
      <c r="J52" s="5"/>
      <c r="K52" s="5"/>
      <c r="L52" s="6"/>
      <c r="M52" s="6"/>
      <c r="N52" s="7">
        <f>IF(M52="","",M52-TODAY())</f>
      </c>
      <c r="O52" s="5">
        <f>IF(M52="","Non assuré / inconnu",IF(N52&lt;0,"Expirée",IF(N52&lt;=30,"Expire &lt; 30 j",IF(N52&lt;=120,"Expire &lt; 4 mois","Valide"))))</f>
      </c>
      <c r="P52" s="5" t="s">
        <v>26</v>
      </c>
      <c r="Q52" s="8" t="s">
        <v>222</v>
      </c>
      <c r="R52" s="5" t="s">
        <v>71</v>
      </c>
    </row>
    <row r="53" spans="1:18" x14ac:dyDescent="0.25">
      <c r="A53" s="9">
        <v>50</v>
      </c>
      <c r="B53" s="10" t="s">
        <v>64</v>
      </c>
      <c r="C53" s="9" t="s">
        <v>223</v>
      </c>
      <c r="D53" s="10" t="s">
        <v>224</v>
      </c>
      <c r="E53" s="10" t="s">
        <v>225</v>
      </c>
      <c r="F53" s="10"/>
      <c r="G53" s="10" t="s">
        <v>226</v>
      </c>
      <c r="H53" s="10"/>
      <c r="I53" s="9"/>
      <c r="J53" s="10"/>
      <c r="K53" s="10"/>
      <c r="L53" s="11"/>
      <c r="M53" s="11"/>
      <c r="N53" s="12">
        <f>IF(M53="","",M53-TODAY())</f>
      </c>
      <c r="O53" s="10">
        <f>IF(M53="","Non assuré / inconnu",IF(N53&lt;0,"Expirée",IF(N53&lt;=30,"Expire &lt; 30 j",IF(N53&lt;=120,"Expire &lt; 4 mois","Valide"))))</f>
      </c>
      <c r="P53" s="10" t="s">
        <v>70</v>
      </c>
      <c r="Q53" s="13"/>
      <c r="R53" s="10" t="s">
        <v>71</v>
      </c>
    </row>
    <row r="54" spans="1:18" x14ac:dyDescent="0.25">
      <c r="A54" s="4">
        <v>51</v>
      </c>
      <c r="B54" s="5" t="s">
        <v>64</v>
      </c>
      <c r="C54" s="4" t="s">
        <v>227</v>
      </c>
      <c r="D54" s="5" t="s">
        <v>224</v>
      </c>
      <c r="E54" s="5" t="s">
        <v>225</v>
      </c>
      <c r="F54" s="5"/>
      <c r="G54" s="5" t="s">
        <v>228</v>
      </c>
      <c r="H54" s="5"/>
      <c r="I54" s="4"/>
      <c r="J54" s="5"/>
      <c r="K54" s="5"/>
      <c r="L54" s="6"/>
      <c r="M54" s="6"/>
      <c r="N54" s="7">
        <f>IF(M54="","",M54-TODAY())</f>
      </c>
      <c r="O54" s="5">
        <f>IF(M54="","Non assuré / inconnu",IF(N54&lt;0,"Expirée",IF(N54&lt;=30,"Expire &lt; 30 j",IF(N54&lt;=120,"Expire &lt; 4 mois","Valide"))))</f>
      </c>
      <c r="P54" s="5" t="s">
        <v>70</v>
      </c>
      <c r="Q54" s="8"/>
      <c r="R54" s="5" t="s">
        <v>71</v>
      </c>
    </row>
    <row r="55" spans="1:18" x14ac:dyDescent="0.25">
      <c r="A55" s="9">
        <v>52</v>
      </c>
      <c r="B55" s="10" t="s">
        <v>64</v>
      </c>
      <c r="C55" s="9" t="s">
        <v>229</v>
      </c>
      <c r="D55" s="10" t="s">
        <v>224</v>
      </c>
      <c r="E55" s="10" t="s">
        <v>225</v>
      </c>
      <c r="F55" s="10"/>
      <c r="G55" s="10" t="s">
        <v>230</v>
      </c>
      <c r="H55" s="10"/>
      <c r="I55" s="9"/>
      <c r="J55" s="10" t="s">
        <v>68</v>
      </c>
      <c r="K55" s="10" t="s">
        <v>231</v>
      </c>
      <c r="L55" s="11"/>
      <c r="M55" s="11">
        <v>46424</v>
      </c>
      <c r="N55" s="12">
        <f>IF(M55="","",M55-TODAY())</f>
      </c>
      <c r="O55" s="10">
        <f>IF(M55="","Non assuré / inconnu",IF(N55&lt;0,"Expirée",IF(N55&lt;=30,"Expire &lt; 30 j",IF(N55&lt;=120,"Expire &lt; 4 mois","Valide"))))</f>
      </c>
      <c r="P55" s="10" t="s">
        <v>70</v>
      </c>
      <c r="Q55" s="13"/>
      <c r="R55" s="10" t="s">
        <v>71</v>
      </c>
    </row>
    <row r="56" spans="1:18" x14ac:dyDescent="0.25">
      <c r="A56" s="4">
        <v>53</v>
      </c>
      <c r="B56" s="5" t="s">
        <v>64</v>
      </c>
      <c r="C56" s="4" t="s">
        <v>232</v>
      </c>
      <c r="D56" s="5" t="s">
        <v>224</v>
      </c>
      <c r="E56" s="5" t="s">
        <v>225</v>
      </c>
      <c r="F56" s="5"/>
      <c r="G56" s="5" t="s">
        <v>233</v>
      </c>
      <c r="H56" s="5"/>
      <c r="I56" s="4"/>
      <c r="J56" s="5"/>
      <c r="K56" s="5"/>
      <c r="L56" s="6"/>
      <c r="M56" s="6"/>
      <c r="N56" s="7">
        <f>IF(M56="","",M56-TODAY())</f>
      </c>
      <c r="O56" s="5">
        <f>IF(M56="","Non assuré / inconnu",IF(N56&lt;0,"Expirée",IF(N56&lt;=30,"Expire &lt; 30 j",IF(N56&lt;=120,"Expire &lt; 4 mois","Valide"))))</f>
      </c>
      <c r="P56" s="5" t="s">
        <v>70</v>
      </c>
      <c r="Q56" s="8"/>
      <c r="R56" s="5" t="s">
        <v>71</v>
      </c>
    </row>
    <row r="57" spans="1:18" x14ac:dyDescent="0.25">
      <c r="A57" s="9">
        <v>54</v>
      </c>
      <c r="B57" s="10" t="s">
        <v>64</v>
      </c>
      <c r="C57" s="9" t="s">
        <v>234</v>
      </c>
      <c r="D57" s="10" t="s">
        <v>224</v>
      </c>
      <c r="E57" s="10" t="s">
        <v>225</v>
      </c>
      <c r="F57" s="10"/>
      <c r="G57" s="10" t="s">
        <v>235</v>
      </c>
      <c r="H57" s="10"/>
      <c r="I57" s="9"/>
      <c r="J57" s="10" t="s">
        <v>68</v>
      </c>
      <c r="K57" s="10" t="s">
        <v>236</v>
      </c>
      <c r="L57" s="11"/>
      <c r="M57" s="11">
        <v>46424</v>
      </c>
      <c r="N57" s="12">
        <f>IF(M57="","",M57-TODAY())</f>
      </c>
      <c r="O57" s="10">
        <f>IF(M57="","Non assuré / inconnu",IF(N57&lt;0,"Expirée",IF(N57&lt;=30,"Expire &lt; 30 j",IF(N57&lt;=120,"Expire &lt; 4 mois","Valide"))))</f>
      </c>
      <c r="P57" s="10" t="s">
        <v>181</v>
      </c>
      <c r="Q57" s="13"/>
      <c r="R57" s="10" t="s">
        <v>71</v>
      </c>
    </row>
    <row r="58" spans="1:18" x14ac:dyDescent="0.25">
      <c r="A58" s="4">
        <v>55</v>
      </c>
      <c r="B58" s="5" t="s">
        <v>64</v>
      </c>
      <c r="C58" s="4" t="s">
        <v>237</v>
      </c>
      <c r="D58" s="5" t="s">
        <v>224</v>
      </c>
      <c r="E58" s="5" t="s">
        <v>225</v>
      </c>
      <c r="F58" s="5"/>
      <c r="G58" s="5" t="s">
        <v>238</v>
      </c>
      <c r="H58" s="5"/>
      <c r="I58" s="4"/>
      <c r="J58" s="5"/>
      <c r="K58" s="5"/>
      <c r="L58" s="6"/>
      <c r="M58" s="6"/>
      <c r="N58" s="7">
        <f>IF(M58="","",M58-TODAY())</f>
      </c>
      <c r="O58" s="5">
        <f>IF(M58="","Non assuré / inconnu",IF(N58&lt;0,"Expirée",IF(N58&lt;=30,"Expire &lt; 30 j",IF(N58&lt;=120,"Expire &lt; 4 mois","Valide"))))</f>
      </c>
      <c r="P58" s="5" t="s">
        <v>77</v>
      </c>
      <c r="Q58" s="8"/>
      <c r="R58" s="5" t="s">
        <v>71</v>
      </c>
    </row>
    <row r="59" spans="1:18" x14ac:dyDescent="0.25">
      <c r="A59" s="9">
        <v>56</v>
      </c>
      <c r="B59" s="10" t="s">
        <v>64</v>
      </c>
      <c r="C59" s="9" t="s">
        <v>239</v>
      </c>
      <c r="D59" s="10" t="s">
        <v>224</v>
      </c>
      <c r="E59" s="10" t="s">
        <v>225</v>
      </c>
      <c r="F59" s="10"/>
      <c r="G59" s="10" t="s">
        <v>240</v>
      </c>
      <c r="H59" s="10"/>
      <c r="I59" s="9"/>
      <c r="J59" s="10"/>
      <c r="K59" s="10"/>
      <c r="L59" s="11"/>
      <c r="M59" s="11"/>
      <c r="N59" s="12">
        <f>IF(M59="","",M59-TODAY())</f>
      </c>
      <c r="O59" s="10">
        <f>IF(M59="","Non assuré / inconnu",IF(N59&lt;0,"Expirée",IF(N59&lt;=30,"Expire &lt; 30 j",IF(N59&lt;=120,"Expire &lt; 4 mois","Valide"))))</f>
      </c>
      <c r="P59" s="10" t="s">
        <v>181</v>
      </c>
      <c r="Q59" s="13"/>
      <c r="R59" s="10" t="s">
        <v>71</v>
      </c>
    </row>
    <row r="60" spans="1:18" x14ac:dyDescent="0.25">
      <c r="A60" s="4">
        <v>57</v>
      </c>
      <c r="B60" s="5" t="s">
        <v>64</v>
      </c>
      <c r="C60" s="4" t="s">
        <v>241</v>
      </c>
      <c r="D60" s="5" t="s">
        <v>224</v>
      </c>
      <c r="E60" s="5" t="s">
        <v>225</v>
      </c>
      <c r="F60" s="5"/>
      <c r="G60" s="5" t="s">
        <v>242</v>
      </c>
      <c r="H60" s="5"/>
      <c r="I60" s="4"/>
      <c r="J60" s="5" t="s">
        <v>68</v>
      </c>
      <c r="K60" s="5" t="s">
        <v>243</v>
      </c>
      <c r="L60" s="6"/>
      <c r="M60" s="6">
        <v>46424</v>
      </c>
      <c r="N60" s="7">
        <f>IF(M60="","",M60-TODAY())</f>
      </c>
      <c r="O60" s="5">
        <f>IF(M60="","Non assuré / inconnu",IF(N60&lt;0,"Expirée",IF(N60&lt;=30,"Expire &lt; 30 j",IF(N60&lt;=120,"Expire &lt; 4 mois","Valide"))))</f>
      </c>
      <c r="P60" s="5" t="s">
        <v>181</v>
      </c>
      <c r="Q60" s="8" t="s">
        <v>244</v>
      </c>
      <c r="R60" s="5" t="s">
        <v>71</v>
      </c>
    </row>
    <row r="61" spans="1:18" x14ac:dyDescent="0.25">
      <c r="A61" s="9">
        <v>58</v>
      </c>
      <c r="B61" s="10" t="s">
        <v>64</v>
      </c>
      <c r="C61" s="9" t="s">
        <v>245</v>
      </c>
      <c r="D61" s="10" t="s">
        <v>246</v>
      </c>
      <c r="E61" s="10" t="s">
        <v>48</v>
      </c>
      <c r="F61" s="10" t="s">
        <v>247</v>
      </c>
      <c r="G61" s="10" t="s">
        <v>248</v>
      </c>
      <c r="H61" s="10"/>
      <c r="I61" s="9"/>
      <c r="J61" s="10"/>
      <c r="K61" s="10"/>
      <c r="L61" s="11"/>
      <c r="M61" s="11"/>
      <c r="N61" s="12">
        <f>IF(M61="","",M61-TODAY())</f>
      </c>
      <c r="O61" s="10">
        <f>IF(M61="","Non assuré / inconnu",IF(N61&lt;0,"Expirée",IF(N61&lt;=30,"Expire &lt; 30 j",IF(N61&lt;=120,"Expire &lt; 4 mois","Valide"))))</f>
      </c>
      <c r="P61" s="10" t="s">
        <v>70</v>
      </c>
      <c r="Q61" s="13" t="s">
        <v>249</v>
      </c>
      <c r="R61" s="10" t="s">
        <v>71</v>
      </c>
    </row>
    <row r="62" spans="1:18" x14ac:dyDescent="0.25">
      <c r="A62" s="4">
        <v>59</v>
      </c>
      <c r="B62" s="5" t="s">
        <v>64</v>
      </c>
      <c r="C62" s="4" t="s">
        <v>250</v>
      </c>
      <c r="D62" s="5" t="s">
        <v>246</v>
      </c>
      <c r="E62" s="5" t="s">
        <v>48</v>
      </c>
      <c r="F62" s="5" t="s">
        <v>251</v>
      </c>
      <c r="G62" s="5" t="s">
        <v>252</v>
      </c>
      <c r="H62" s="5"/>
      <c r="I62" s="4"/>
      <c r="J62" s="5" t="s">
        <v>253</v>
      </c>
      <c r="K62" s="5" t="s">
        <v>254</v>
      </c>
      <c r="L62" s="6"/>
      <c r="M62" s="6">
        <v>46309</v>
      </c>
      <c r="N62" s="7">
        <f>IF(M62="","",M62-TODAY())</f>
      </c>
      <c r="O62" s="5">
        <f>IF(M62="","Non assuré / inconnu",IF(N62&lt;0,"Expirée",IF(N62&lt;=30,"Expire &lt; 30 j",IF(N62&lt;=120,"Expire &lt; 4 mois","Valide"))))</f>
      </c>
      <c r="P62" s="5" t="s">
        <v>70</v>
      </c>
      <c r="Q62" s="15" t="s">
        <v>255</v>
      </c>
      <c r="R62" s="5" t="s">
        <v>71</v>
      </c>
    </row>
    <row r="63" spans="1:18" x14ac:dyDescent="0.25">
      <c r="A63" s="9">
        <v>60</v>
      </c>
      <c r="B63" s="10" t="s">
        <v>64</v>
      </c>
      <c r="C63" s="9" t="s">
        <v>256</v>
      </c>
      <c r="D63" s="10" t="s">
        <v>246</v>
      </c>
      <c r="E63" s="10" t="s">
        <v>48</v>
      </c>
      <c r="F63" s="10" t="s">
        <v>257</v>
      </c>
      <c r="G63" s="10" t="s">
        <v>258</v>
      </c>
      <c r="H63" s="10"/>
      <c r="I63" s="9"/>
      <c r="J63" s="10" t="s">
        <v>253</v>
      </c>
      <c r="K63" s="10" t="s">
        <v>254</v>
      </c>
      <c r="L63" s="11"/>
      <c r="M63" s="11">
        <v>46309</v>
      </c>
      <c r="N63" s="12">
        <f>IF(M63="","",M63-TODAY())</f>
      </c>
      <c r="O63" s="10">
        <f>IF(M63="","Non assuré / inconnu",IF(N63&lt;0,"Expirée",IF(N63&lt;=30,"Expire &lt; 30 j",IF(N63&lt;=120,"Expire &lt; 4 mois","Valide"))))</f>
      </c>
      <c r="P63" s="10" t="s">
        <v>70</v>
      </c>
      <c r="Q63" s="14" t="s">
        <v>255</v>
      </c>
      <c r="R63" s="10" t="s">
        <v>71</v>
      </c>
    </row>
    <row r="64" spans="1:18" x14ac:dyDescent="0.25">
      <c r="A64" s="4">
        <v>61</v>
      </c>
      <c r="B64" s="5" t="s">
        <v>259</v>
      </c>
      <c r="C64" s="4" t="s">
        <v>260</v>
      </c>
      <c r="D64" s="5" t="s">
        <v>80</v>
      </c>
      <c r="E64" s="5" t="s">
        <v>23</v>
      </c>
      <c r="F64" s="5" t="s">
        <v>261</v>
      </c>
      <c r="G64" s="5" t="s">
        <v>262</v>
      </c>
      <c r="H64" s="5"/>
      <c r="I64" s="4"/>
      <c r="J64" s="5"/>
      <c r="K64" s="5"/>
      <c r="L64" s="6">
        <v>46060</v>
      </c>
      <c r="M64" s="6">
        <v>46424</v>
      </c>
      <c r="N64" s="7">
        <f>IF(M64="","",M64-TODAY())</f>
      </c>
      <c r="O64" s="5">
        <f>IF(M64="","Non assuré / inconnu",IF(N64&lt;0,"Expirée",IF(N64&lt;=30,"Expire &lt; 30 j",IF(N64&lt;=120,"Expire &lt; 4 mois","Valide"))))</f>
      </c>
      <c r="P64" s="5" t="s">
        <v>70</v>
      </c>
      <c r="Q64" s="8"/>
      <c r="R64" s="5" t="s">
        <v>263</v>
      </c>
    </row>
    <row r="65" spans="1:18" x14ac:dyDescent="0.25">
      <c r="A65" s="9">
        <v>62</v>
      </c>
      <c r="B65" s="10" t="s">
        <v>259</v>
      </c>
      <c r="C65" s="9" t="s">
        <v>264</v>
      </c>
      <c r="D65" s="10" t="s">
        <v>80</v>
      </c>
      <c r="E65" s="10" t="s">
        <v>23</v>
      </c>
      <c r="F65" s="10" t="s">
        <v>265</v>
      </c>
      <c r="G65" s="10" t="s">
        <v>266</v>
      </c>
      <c r="H65" s="10"/>
      <c r="I65" s="9"/>
      <c r="J65" s="10"/>
      <c r="K65" s="10"/>
      <c r="L65" s="11">
        <v>46224</v>
      </c>
      <c r="M65" s="11">
        <v>46588</v>
      </c>
      <c r="N65" s="12">
        <f>IF(M65="","",M65-TODAY())</f>
      </c>
      <c r="O65" s="10">
        <f>IF(M65="","Non assuré / inconnu",IF(N65&lt;0,"Expirée",IF(N65&lt;=30,"Expire &lt; 30 j",IF(N65&lt;=120,"Expire &lt; 4 mois","Valide"))))</f>
      </c>
      <c r="P65" s="10" t="s">
        <v>70</v>
      </c>
      <c r="Q65" s="13" t="s">
        <v>267</v>
      </c>
      <c r="R65" s="10" t="s">
        <v>263</v>
      </c>
    </row>
    <row r="66" spans="1:18" x14ac:dyDescent="0.25">
      <c r="A66" s="4">
        <v>63</v>
      </c>
      <c r="B66" s="5" t="s">
        <v>259</v>
      </c>
      <c r="C66" s="4" t="s">
        <v>268</v>
      </c>
      <c r="D66" s="5" t="s">
        <v>80</v>
      </c>
      <c r="E66" s="5" t="s">
        <v>23</v>
      </c>
      <c r="F66" s="5" t="s">
        <v>269</v>
      </c>
      <c r="G66" s="5" t="s">
        <v>270</v>
      </c>
      <c r="H66" s="5"/>
      <c r="I66" s="4"/>
      <c r="J66" s="5"/>
      <c r="K66" s="5"/>
      <c r="L66" s="6">
        <v>46060</v>
      </c>
      <c r="M66" s="6">
        <v>46424</v>
      </c>
      <c r="N66" s="7">
        <f>IF(M66="","",M66-TODAY())</f>
      </c>
      <c r="O66" s="5">
        <f>IF(M66="","Non assuré / inconnu",IF(N66&lt;0,"Expirée",IF(N66&lt;=30,"Expire &lt; 30 j",IF(N66&lt;=120,"Expire &lt; 4 mois","Valide"))))</f>
      </c>
      <c r="P66" s="5" t="s">
        <v>77</v>
      </c>
      <c r="Q66" s="8"/>
      <c r="R66" s="5" t="s">
        <v>263</v>
      </c>
    </row>
    <row r="67" spans="1:18" x14ac:dyDescent="0.25">
      <c r="A67" s="9">
        <v>64</v>
      </c>
      <c r="B67" s="10" t="s">
        <v>259</v>
      </c>
      <c r="C67" s="9" t="s">
        <v>271</v>
      </c>
      <c r="D67" s="10" t="s">
        <v>80</v>
      </c>
      <c r="E67" s="10" t="s">
        <v>23</v>
      </c>
      <c r="F67" s="10" t="s">
        <v>272</v>
      </c>
      <c r="G67" s="10" t="s">
        <v>273</v>
      </c>
      <c r="H67" s="10"/>
      <c r="I67" s="9"/>
      <c r="J67" s="10"/>
      <c r="K67" s="10"/>
      <c r="L67" s="11">
        <v>46060</v>
      </c>
      <c r="M67" s="11">
        <v>46424</v>
      </c>
      <c r="N67" s="12">
        <f>IF(M67="","",M67-TODAY())</f>
      </c>
      <c r="O67" s="10">
        <f>IF(M67="","Non assuré / inconnu",IF(N67&lt;0,"Expirée",IF(N67&lt;=30,"Expire &lt; 30 j",IF(N67&lt;=120,"Expire &lt; 4 mois","Valide"))))</f>
      </c>
      <c r="P67" s="10" t="s">
        <v>70</v>
      </c>
      <c r="Q67" s="13" t="s">
        <v>274</v>
      </c>
      <c r="R67" s="10" t="s">
        <v>263</v>
      </c>
    </row>
    <row r="68" spans="1:18" x14ac:dyDescent="0.25">
      <c r="A68" s="4">
        <v>65</v>
      </c>
      <c r="B68" s="5" t="s">
        <v>259</v>
      </c>
      <c r="C68" s="4" t="s">
        <v>275</v>
      </c>
      <c r="D68" s="5" t="s">
        <v>22</v>
      </c>
      <c r="E68" s="5" t="s">
        <v>23</v>
      </c>
      <c r="F68" s="5" t="s">
        <v>276</v>
      </c>
      <c r="G68" s="5" t="s">
        <v>277</v>
      </c>
      <c r="H68" s="5"/>
      <c r="I68" s="4"/>
      <c r="J68" s="5"/>
      <c r="K68" s="5"/>
      <c r="L68" s="6">
        <v>46060</v>
      </c>
      <c r="M68" s="6">
        <v>46424</v>
      </c>
      <c r="N68" s="7">
        <f>IF(M68="","",M68-TODAY())</f>
      </c>
      <c r="O68" s="5">
        <f>IF(M68="","Non assuré / inconnu",IF(N68&lt;0,"Expirée",IF(N68&lt;=30,"Expire &lt; 30 j",IF(N68&lt;=120,"Expire &lt; 4 mois","Valide"))))</f>
      </c>
      <c r="P68" s="5" t="s">
        <v>70</v>
      </c>
      <c r="Q68" s="8" t="s">
        <v>278</v>
      </c>
      <c r="R68" s="5" t="s">
        <v>263</v>
      </c>
    </row>
    <row r="69" spans="1:18" x14ac:dyDescent="0.25">
      <c r="A69" s="9">
        <v>66</v>
      </c>
      <c r="B69" s="10" t="s">
        <v>259</v>
      </c>
      <c r="C69" s="9" t="s">
        <v>279</v>
      </c>
      <c r="D69" s="10" t="s">
        <v>22</v>
      </c>
      <c r="E69" s="10" t="s">
        <v>23</v>
      </c>
      <c r="F69" s="10" t="s">
        <v>280</v>
      </c>
      <c r="G69" s="10" t="s">
        <v>281</v>
      </c>
      <c r="H69" s="10"/>
      <c r="I69" s="9"/>
      <c r="J69" s="10"/>
      <c r="K69" s="10"/>
      <c r="L69" s="11"/>
      <c r="M69" s="11"/>
      <c r="N69" s="12">
        <f>IF(M69="","",M69-TODAY())</f>
      </c>
      <c r="O69" s="10">
        <f>IF(M69="","Non assuré / inconnu",IF(N69&lt;0,"Expirée",IF(N69&lt;=30,"Expire &lt; 30 j",IF(N69&lt;=120,"Expire &lt; 4 mois","Valide"))))</f>
      </c>
      <c r="P69" s="10" t="s">
        <v>70</v>
      </c>
      <c r="Q69" s="13" t="s">
        <v>93</v>
      </c>
      <c r="R69" s="10" t="s">
        <v>263</v>
      </c>
    </row>
    <row r="70" spans="1:18" x14ac:dyDescent="0.25">
      <c r="A70" s="4">
        <v>67</v>
      </c>
      <c r="B70" s="5" t="s">
        <v>259</v>
      </c>
      <c r="C70" s="4" t="s">
        <v>282</v>
      </c>
      <c r="D70" s="5" t="s">
        <v>22</v>
      </c>
      <c r="E70" s="5" t="s">
        <v>23</v>
      </c>
      <c r="F70" s="5" t="s">
        <v>283</v>
      </c>
      <c r="G70" s="5" t="s">
        <v>284</v>
      </c>
      <c r="H70" s="5"/>
      <c r="I70" s="4"/>
      <c r="J70" s="5"/>
      <c r="K70" s="5"/>
      <c r="L70" s="6">
        <v>46266</v>
      </c>
      <c r="M70" s="6">
        <v>46630</v>
      </c>
      <c r="N70" s="7">
        <f>IF(M70="","",M70-TODAY())</f>
      </c>
      <c r="O70" s="5">
        <f>IF(M70="","Non assuré / inconnu",IF(N70&lt;0,"Expirée",IF(N70&lt;=30,"Expire &lt; 30 j",IF(N70&lt;=120,"Expire &lt; 4 mois","Valide"))))</f>
      </c>
      <c r="P70" s="5" t="s">
        <v>70</v>
      </c>
      <c r="Q70" s="8"/>
      <c r="R70" s="5" t="s">
        <v>263</v>
      </c>
    </row>
    <row r="71" spans="1:18" x14ac:dyDescent="0.25">
      <c r="A71" s="9">
        <v>68</v>
      </c>
      <c r="B71" s="10" t="s">
        <v>259</v>
      </c>
      <c r="C71" s="9" t="s">
        <v>285</v>
      </c>
      <c r="D71" s="10" t="s">
        <v>22</v>
      </c>
      <c r="E71" s="10" t="s">
        <v>23</v>
      </c>
      <c r="F71" s="10" t="s">
        <v>286</v>
      </c>
      <c r="G71" s="10" t="s">
        <v>287</v>
      </c>
      <c r="H71" s="10"/>
      <c r="I71" s="9"/>
      <c r="J71" s="10"/>
      <c r="K71" s="10"/>
      <c r="L71" s="11">
        <v>46060</v>
      </c>
      <c r="M71" s="11">
        <v>46424</v>
      </c>
      <c r="N71" s="12">
        <f>IF(M71="","",M71-TODAY())</f>
      </c>
      <c r="O71" s="10">
        <f>IF(M71="","Non assuré / inconnu",IF(N71&lt;0,"Expirée",IF(N71&lt;=30,"Expire &lt; 30 j",IF(N71&lt;=120,"Expire &lt; 4 mois","Valide"))))</f>
      </c>
      <c r="P71" s="10" t="s">
        <v>70</v>
      </c>
      <c r="Q71" s="13"/>
      <c r="R71" s="10" t="s">
        <v>263</v>
      </c>
    </row>
    <row r="72" spans="1:18" x14ac:dyDescent="0.25">
      <c r="A72" s="4">
        <v>69</v>
      </c>
      <c r="B72" s="5" t="s">
        <v>259</v>
      </c>
      <c r="C72" s="4" t="s">
        <v>288</v>
      </c>
      <c r="D72" s="5" t="s">
        <v>47</v>
      </c>
      <c r="E72" s="5" t="s">
        <v>48</v>
      </c>
      <c r="F72" s="5" t="s">
        <v>289</v>
      </c>
      <c r="G72" s="5" t="s">
        <v>290</v>
      </c>
      <c r="H72" s="5"/>
      <c r="I72" s="4"/>
      <c r="J72" s="5"/>
      <c r="K72" s="5"/>
      <c r="L72" s="6">
        <v>46060</v>
      </c>
      <c r="M72" s="6">
        <v>46424</v>
      </c>
      <c r="N72" s="7">
        <f>IF(M72="","",M72-TODAY())</f>
      </c>
      <c r="O72" s="5">
        <f>IF(M72="","Non assuré / inconnu",IF(N72&lt;0,"Expirée",IF(N72&lt;=30,"Expire &lt; 30 j",IF(N72&lt;=120,"Expire &lt; 4 mois","Valide"))))</f>
      </c>
      <c r="P72" s="5" t="s">
        <v>70</v>
      </c>
      <c r="Q72" s="15" t="s">
        <v>291</v>
      </c>
      <c r="R72" s="5" t="s">
        <v>263</v>
      </c>
    </row>
    <row r="73" spans="1:18" x14ac:dyDescent="0.25">
      <c r="A73" s="9">
        <v>70</v>
      </c>
      <c r="B73" s="10" t="s">
        <v>259</v>
      </c>
      <c r="C73" s="9" t="s">
        <v>292</v>
      </c>
      <c r="D73" s="10" t="s">
        <v>47</v>
      </c>
      <c r="E73" s="10" t="s">
        <v>48</v>
      </c>
      <c r="F73" s="10" t="s">
        <v>293</v>
      </c>
      <c r="G73" s="10" t="s">
        <v>294</v>
      </c>
      <c r="H73" s="10"/>
      <c r="I73" s="9"/>
      <c r="J73" s="10"/>
      <c r="K73" s="10"/>
      <c r="L73" s="11">
        <v>46060</v>
      </c>
      <c r="M73" s="11">
        <v>46424</v>
      </c>
      <c r="N73" s="12">
        <f>IF(M73="","",M73-TODAY())</f>
      </c>
      <c r="O73" s="10">
        <f>IF(M73="","Non assuré / inconnu",IF(N73&lt;0,"Expirée",IF(N73&lt;=30,"Expire &lt; 30 j",IF(N73&lt;=120,"Expire &lt; 4 mois","Valide"))))</f>
      </c>
      <c r="P73" s="10" t="s">
        <v>70</v>
      </c>
      <c r="Q73" s="14" t="s">
        <v>295</v>
      </c>
      <c r="R73" s="10" t="s">
        <v>263</v>
      </c>
    </row>
    <row r="74" spans="1:18" x14ac:dyDescent="0.25">
      <c r="A74" s="4">
        <v>71</v>
      </c>
      <c r="B74" s="5" t="s">
        <v>259</v>
      </c>
      <c r="C74" s="4" t="s">
        <v>296</v>
      </c>
      <c r="D74" s="5" t="s">
        <v>54</v>
      </c>
      <c r="E74" s="5" t="s">
        <v>297</v>
      </c>
      <c r="F74" s="5" t="s">
        <v>298</v>
      </c>
      <c r="G74" s="5" t="s">
        <v>299</v>
      </c>
      <c r="H74" s="5"/>
      <c r="I74" s="4"/>
      <c r="J74" s="5"/>
      <c r="K74" s="5"/>
      <c r="L74" s="6">
        <v>46060</v>
      </c>
      <c r="M74" s="6">
        <v>46424</v>
      </c>
      <c r="N74" s="7">
        <f>IF(M74="","",M74-TODAY())</f>
      </c>
      <c r="O74" s="5">
        <f>IF(M74="","Non assuré / inconnu",IF(N74&lt;0,"Expirée",IF(N74&lt;=30,"Expire &lt; 30 j",IF(N74&lt;=120,"Expire &lt; 4 mois","Valide"))))</f>
      </c>
      <c r="P74" s="5" t="s">
        <v>70</v>
      </c>
      <c r="Q74" s="8"/>
      <c r="R74" s="5" t="s">
        <v>263</v>
      </c>
    </row>
    <row r="75" spans="1:18" x14ac:dyDescent="0.25">
      <c r="A75" s="9">
        <v>72</v>
      </c>
      <c r="B75" s="10" t="s">
        <v>259</v>
      </c>
      <c r="C75" s="9" t="s">
        <v>300</v>
      </c>
      <c r="D75" s="10" t="s">
        <v>54</v>
      </c>
      <c r="E75" s="10" t="s">
        <v>297</v>
      </c>
      <c r="F75" s="10" t="s">
        <v>301</v>
      </c>
      <c r="G75" s="10" t="s">
        <v>302</v>
      </c>
      <c r="H75" s="10"/>
      <c r="I75" s="9"/>
      <c r="J75" s="10"/>
      <c r="K75" s="10"/>
      <c r="L75" s="11">
        <v>46060</v>
      </c>
      <c r="M75" s="11">
        <v>46424</v>
      </c>
      <c r="N75" s="12">
        <f>IF(M75="","",M75-TODAY())</f>
      </c>
      <c r="O75" s="10">
        <f>IF(M75="","Non assuré / inconnu",IF(N75&lt;0,"Expirée",IF(N75&lt;=30,"Expire &lt; 30 j",IF(N75&lt;=120,"Expire &lt; 4 mois","Valide"))))</f>
      </c>
      <c r="P75" s="10" t="s">
        <v>70</v>
      </c>
      <c r="Q75" s="13"/>
      <c r="R75" s="10" t="s">
        <v>263</v>
      </c>
    </row>
    <row r="76" spans="1:18" x14ac:dyDescent="0.25">
      <c r="A76" s="4">
        <v>73</v>
      </c>
      <c r="B76" s="5" t="s">
        <v>259</v>
      </c>
      <c r="C76" s="4" t="s">
        <v>303</v>
      </c>
      <c r="D76" s="5" t="s">
        <v>54</v>
      </c>
      <c r="E76" s="5" t="s">
        <v>297</v>
      </c>
      <c r="F76" s="5" t="s">
        <v>304</v>
      </c>
      <c r="G76" s="5" t="s">
        <v>305</v>
      </c>
      <c r="H76" s="5"/>
      <c r="I76" s="4"/>
      <c r="J76" s="5"/>
      <c r="K76" s="5"/>
      <c r="L76" s="6">
        <v>46060</v>
      </c>
      <c r="M76" s="6">
        <v>46424</v>
      </c>
      <c r="N76" s="7">
        <f>IF(M76="","",M76-TODAY())</f>
      </c>
      <c r="O76" s="5">
        <f>IF(M76="","Non assuré / inconnu",IF(N76&lt;0,"Expirée",IF(N76&lt;=30,"Expire &lt; 30 j",IF(N76&lt;=120,"Expire &lt; 4 mois","Valide"))))</f>
      </c>
      <c r="P76" s="5" t="s">
        <v>70</v>
      </c>
      <c r="Q76" s="8"/>
      <c r="R76" s="5" t="s">
        <v>263</v>
      </c>
    </row>
    <row r="77" spans="1:18" x14ac:dyDescent="0.25">
      <c r="A77" s="9">
        <v>74</v>
      </c>
      <c r="B77" s="10" t="s">
        <v>259</v>
      </c>
      <c r="C77" s="9" t="s">
        <v>306</v>
      </c>
      <c r="D77" s="10" t="s">
        <v>54</v>
      </c>
      <c r="E77" s="10" t="s">
        <v>297</v>
      </c>
      <c r="F77" s="10" t="s">
        <v>307</v>
      </c>
      <c r="G77" s="10" t="s">
        <v>308</v>
      </c>
      <c r="H77" s="10"/>
      <c r="I77" s="9"/>
      <c r="J77" s="10"/>
      <c r="K77" s="10"/>
      <c r="L77" s="11">
        <v>46060</v>
      </c>
      <c r="M77" s="11">
        <v>46424</v>
      </c>
      <c r="N77" s="12">
        <f>IF(M77="","",M77-TODAY())</f>
      </c>
      <c r="O77" s="10">
        <f>IF(M77="","Non assuré / inconnu",IF(N77&lt;0,"Expirée",IF(N77&lt;=30,"Expire &lt; 30 j",IF(N77&lt;=120,"Expire &lt; 4 mois","Valide"))))</f>
      </c>
      <c r="P77" s="10" t="s">
        <v>70</v>
      </c>
      <c r="Q77" s="13"/>
      <c r="R77" s="10" t="s">
        <v>263</v>
      </c>
    </row>
    <row r="78" spans="1:18" x14ac:dyDescent="0.25">
      <c r="A78" s="4">
        <v>75</v>
      </c>
      <c r="B78" s="5" t="s">
        <v>259</v>
      </c>
      <c r="C78" s="4" t="s">
        <v>309</v>
      </c>
      <c r="D78" s="5" t="s">
        <v>54</v>
      </c>
      <c r="E78" s="5" t="s">
        <v>297</v>
      </c>
      <c r="F78" s="5" t="s">
        <v>310</v>
      </c>
      <c r="G78" s="5" t="s">
        <v>311</v>
      </c>
      <c r="H78" s="5"/>
      <c r="I78" s="4"/>
      <c r="J78" s="5"/>
      <c r="K78" s="5"/>
      <c r="L78" s="6">
        <v>46060</v>
      </c>
      <c r="M78" s="6">
        <v>46424</v>
      </c>
      <c r="N78" s="7">
        <f>IF(M78="","",M78-TODAY())</f>
      </c>
      <c r="O78" s="5">
        <f>IF(M78="","Non assuré / inconnu",IF(N78&lt;0,"Expirée",IF(N78&lt;=30,"Expire &lt; 30 j",IF(N78&lt;=120,"Expire &lt; 4 mois","Valide"))))</f>
      </c>
      <c r="P78" s="5" t="s">
        <v>70</v>
      </c>
      <c r="Q78" s="8" t="s">
        <v>84</v>
      </c>
      <c r="R78" s="5" t="s">
        <v>263</v>
      </c>
    </row>
    <row r="79" spans="1:18" x14ac:dyDescent="0.25">
      <c r="A79" s="9">
        <v>76</v>
      </c>
      <c r="B79" s="10" t="s">
        <v>259</v>
      </c>
      <c r="C79" s="9" t="s">
        <v>312</v>
      </c>
      <c r="D79" s="10" t="s">
        <v>54</v>
      </c>
      <c r="E79" s="10" t="s">
        <v>297</v>
      </c>
      <c r="F79" s="10" t="s">
        <v>313</v>
      </c>
      <c r="G79" s="10" t="s">
        <v>314</v>
      </c>
      <c r="H79" s="10"/>
      <c r="I79" s="9"/>
      <c r="J79" s="10"/>
      <c r="K79" s="10"/>
      <c r="L79" s="11">
        <v>46060</v>
      </c>
      <c r="M79" s="11">
        <v>46424</v>
      </c>
      <c r="N79" s="12">
        <f>IF(M79="","",M79-TODAY())</f>
      </c>
      <c r="O79" s="10">
        <f>IF(M79="","Non assuré / inconnu",IF(N79&lt;0,"Expirée",IF(N79&lt;=30,"Expire &lt; 30 j",IF(N79&lt;=120,"Expire &lt; 4 mois","Valide"))))</f>
      </c>
      <c r="P79" s="10" t="s">
        <v>70</v>
      </c>
      <c r="Q79" s="13"/>
      <c r="R79" s="10" t="s">
        <v>263</v>
      </c>
    </row>
    <row r="80" spans="1:18" x14ac:dyDescent="0.25">
      <c r="A80" s="4">
        <v>77</v>
      </c>
      <c r="B80" s="5" t="s">
        <v>259</v>
      </c>
      <c r="C80" s="4" t="s">
        <v>315</v>
      </c>
      <c r="D80" s="5" t="s">
        <v>54</v>
      </c>
      <c r="E80" s="5" t="s">
        <v>297</v>
      </c>
      <c r="F80" s="5" t="s">
        <v>316</v>
      </c>
      <c r="G80" s="5" t="s">
        <v>317</v>
      </c>
      <c r="H80" s="5"/>
      <c r="I80" s="4"/>
      <c r="J80" s="5"/>
      <c r="K80" s="5"/>
      <c r="L80" s="6">
        <v>46060</v>
      </c>
      <c r="M80" s="6">
        <v>46424</v>
      </c>
      <c r="N80" s="7">
        <f>IF(M80="","",M80-TODAY())</f>
      </c>
      <c r="O80" s="5">
        <f>IF(M80="","Non assuré / inconnu",IF(N80&lt;0,"Expirée",IF(N80&lt;=30,"Expire &lt; 30 j",IF(N80&lt;=120,"Expire &lt; 4 mois","Valide"))))</f>
      </c>
      <c r="P80" s="5" t="s">
        <v>70</v>
      </c>
      <c r="Q80" s="8"/>
      <c r="R80" s="5" t="s">
        <v>263</v>
      </c>
    </row>
    <row r="81" spans="1:18" x14ac:dyDescent="0.25">
      <c r="A81" s="9">
        <v>78</v>
      </c>
      <c r="B81" s="10" t="s">
        <v>259</v>
      </c>
      <c r="C81" s="9"/>
      <c r="D81" s="10" t="s">
        <v>54</v>
      </c>
      <c r="E81" s="10" t="s">
        <v>297</v>
      </c>
      <c r="F81" s="10" t="s">
        <v>318</v>
      </c>
      <c r="G81" s="10" t="s">
        <v>319</v>
      </c>
      <c r="H81" s="10"/>
      <c r="I81" s="9"/>
      <c r="J81" s="10"/>
      <c r="K81" s="10"/>
      <c r="L81" s="11">
        <v>46266</v>
      </c>
      <c r="M81" s="11">
        <v>46445</v>
      </c>
      <c r="N81" s="12">
        <f>IF(M81="","",M81-TODAY())</f>
      </c>
      <c r="O81" s="10">
        <f>IF(M81="","Non assuré / inconnu",IF(N81&lt;0,"Expirée",IF(N81&lt;=30,"Expire &lt; 30 j",IF(N81&lt;=120,"Expire &lt; 4 mois","Valide"))))</f>
      </c>
      <c r="P81" s="10" t="s">
        <v>70</v>
      </c>
      <c r="Q81" s="13" t="s">
        <v>320</v>
      </c>
      <c r="R81" s="10" t="s">
        <v>263</v>
      </c>
    </row>
    <row r="82" spans="1:18" x14ac:dyDescent="0.25">
      <c r="A82" s="4">
        <v>79</v>
      </c>
      <c r="B82" s="5" t="s">
        <v>321</v>
      </c>
      <c r="C82" s="4" t="s">
        <v>322</v>
      </c>
      <c r="D82" s="5" t="s">
        <v>47</v>
      </c>
      <c r="E82" s="5" t="s">
        <v>323</v>
      </c>
      <c r="F82" s="5" t="s">
        <v>324</v>
      </c>
      <c r="G82" s="5" t="s">
        <v>325</v>
      </c>
      <c r="H82" s="5"/>
      <c r="I82" s="4">
        <v>66</v>
      </c>
      <c r="J82" s="5"/>
      <c r="K82" s="5"/>
      <c r="L82" s="6"/>
      <c r="M82" s="6"/>
      <c r="N82" s="7">
        <f>IF(M82="","",M82-TODAY())</f>
      </c>
      <c r="O82" s="5">
        <f>IF(M82="","Non assuré / inconnu",IF(N82&lt;0,"Expirée",IF(N82&lt;=30,"Expire &lt; 30 j",IF(N82&lt;=120,"Expire &lt; 4 mois","Valide"))))</f>
      </c>
      <c r="P82" s="5" t="s">
        <v>26</v>
      </c>
      <c r="Q82" s="15" t="s">
        <v>326</v>
      </c>
      <c r="R82" s="5" t="s">
        <v>327</v>
      </c>
    </row>
    <row r="83" spans="1:18" x14ac:dyDescent="0.25">
      <c r="A83" s="9">
        <v>80</v>
      </c>
      <c r="B83" s="10" t="s">
        <v>321</v>
      </c>
      <c r="C83" s="9" t="s">
        <v>322</v>
      </c>
      <c r="D83" s="10" t="s">
        <v>47</v>
      </c>
      <c r="E83" s="10" t="s">
        <v>323</v>
      </c>
      <c r="F83" s="10" t="s">
        <v>328</v>
      </c>
      <c r="G83" s="10" t="s">
        <v>329</v>
      </c>
      <c r="H83" s="10"/>
      <c r="I83" s="9">
        <v>66</v>
      </c>
      <c r="J83" s="10"/>
      <c r="K83" s="10"/>
      <c r="L83" s="11"/>
      <c r="M83" s="11"/>
      <c r="N83" s="12">
        <f>IF(M83="","",M83-TODAY())</f>
      </c>
      <c r="O83" s="10">
        <f>IF(M83="","Non assuré / inconnu",IF(N83&lt;0,"Expirée",IF(N83&lt;=30,"Expire &lt; 30 j",IF(N83&lt;=120,"Expire &lt; 4 mois","Valide"))))</f>
      </c>
      <c r="P83" s="10" t="s">
        <v>26</v>
      </c>
      <c r="Q83" s="13" t="s">
        <v>330</v>
      </c>
      <c r="R83" s="10" t="s">
        <v>327</v>
      </c>
    </row>
    <row r="84" spans="1:18" x14ac:dyDescent="0.25">
      <c r="A84" s="4">
        <v>81</v>
      </c>
      <c r="B84" s="5" t="s">
        <v>321</v>
      </c>
      <c r="C84" s="4" t="s">
        <v>331</v>
      </c>
      <c r="D84" s="5" t="s">
        <v>47</v>
      </c>
      <c r="E84" s="5" t="s">
        <v>332</v>
      </c>
      <c r="F84" s="5" t="s">
        <v>333</v>
      </c>
      <c r="G84" s="5" t="s">
        <v>334</v>
      </c>
      <c r="H84" s="5"/>
      <c r="I84" s="4">
        <v>66</v>
      </c>
      <c r="J84" s="5"/>
      <c r="K84" s="5"/>
      <c r="L84" s="6"/>
      <c r="M84" s="6"/>
      <c r="N84" s="7">
        <f>IF(M84="","",M84-TODAY())</f>
      </c>
      <c r="O84" s="5">
        <f>IF(M84="","Non assuré / inconnu",IF(N84&lt;0,"Expirée",IF(N84&lt;=30,"Expire &lt; 30 j",IF(N84&lt;=120,"Expire &lt; 4 mois","Valide"))))</f>
      </c>
      <c r="P84" s="5" t="s">
        <v>26</v>
      </c>
      <c r="Q84" s="8"/>
      <c r="R84" s="5" t="s">
        <v>327</v>
      </c>
    </row>
    <row r="85" spans="1:18" x14ac:dyDescent="0.25">
      <c r="A85" s="9">
        <v>82</v>
      </c>
      <c r="B85" s="10" t="s">
        <v>321</v>
      </c>
      <c r="C85" s="9" t="s">
        <v>335</v>
      </c>
      <c r="D85" s="10" t="s">
        <v>47</v>
      </c>
      <c r="E85" s="10" t="s">
        <v>332</v>
      </c>
      <c r="F85" s="10" t="s">
        <v>336</v>
      </c>
      <c r="G85" s="10" t="s">
        <v>337</v>
      </c>
      <c r="H85" s="10"/>
      <c r="I85" s="9">
        <v>66</v>
      </c>
      <c r="J85" s="10"/>
      <c r="K85" s="10"/>
      <c r="L85" s="11"/>
      <c r="M85" s="11"/>
      <c r="N85" s="12">
        <f>IF(M85="","",M85-TODAY())</f>
      </c>
      <c r="O85" s="10">
        <f>IF(M85="","Non assuré / inconnu",IF(N85&lt;0,"Expirée",IF(N85&lt;=30,"Expire &lt; 30 j",IF(N85&lt;=120,"Expire &lt; 4 mois","Valide"))))</f>
      </c>
      <c r="P85" s="10" t="s">
        <v>26</v>
      </c>
      <c r="Q85" s="13" t="s">
        <v>338</v>
      </c>
      <c r="R85" s="10" t="s">
        <v>327</v>
      </c>
    </row>
    <row r="86" spans="1:18" x14ac:dyDescent="0.25">
      <c r="A86" s="4">
        <v>83</v>
      </c>
      <c r="B86" s="5" t="s">
        <v>321</v>
      </c>
      <c r="C86" s="4" t="s">
        <v>339</v>
      </c>
      <c r="D86" s="5" t="s">
        <v>47</v>
      </c>
      <c r="E86" s="5" t="s">
        <v>323</v>
      </c>
      <c r="F86" s="5" t="s">
        <v>340</v>
      </c>
      <c r="G86" s="5"/>
      <c r="H86" s="5"/>
      <c r="I86" s="4">
        <v>66</v>
      </c>
      <c r="J86" s="5"/>
      <c r="K86" s="5"/>
      <c r="L86" s="6"/>
      <c r="M86" s="6"/>
      <c r="N86" s="7">
        <f>IF(M86="","",M86-TODAY())</f>
      </c>
      <c r="O86" s="5">
        <f>IF(M86="","Non assuré / inconnu",IF(N86&lt;0,"Expirée",IF(N86&lt;=30,"Expire &lt; 30 j",IF(N86&lt;=120,"Expire &lt; 4 mois","Valide"))))</f>
      </c>
      <c r="P86" s="5" t="s">
        <v>26</v>
      </c>
      <c r="Q86" s="8" t="s">
        <v>341</v>
      </c>
      <c r="R86" s="5" t="s">
        <v>327</v>
      </c>
    </row>
    <row r="87" spans="1:18" x14ac:dyDescent="0.25">
      <c r="A87" s="9">
        <v>84</v>
      </c>
      <c r="B87" s="10" t="s">
        <v>321</v>
      </c>
      <c r="C87" s="9" t="s">
        <v>342</v>
      </c>
      <c r="D87" s="10" t="s">
        <v>47</v>
      </c>
      <c r="E87" s="10" t="s">
        <v>323</v>
      </c>
      <c r="F87" s="10" t="s">
        <v>343</v>
      </c>
      <c r="G87" s="10" t="s">
        <v>344</v>
      </c>
      <c r="H87" s="10"/>
      <c r="I87" s="9">
        <v>66</v>
      </c>
      <c r="J87" s="10"/>
      <c r="K87" s="10"/>
      <c r="L87" s="11"/>
      <c r="M87" s="11"/>
      <c r="N87" s="12">
        <f>IF(M87="","",M87-TODAY())</f>
      </c>
      <c r="O87" s="10">
        <f>IF(M87="","Non assuré / inconnu",IF(N87&lt;0,"Expirée",IF(N87&lt;=30,"Expire &lt; 30 j",IF(N87&lt;=120,"Expire &lt; 4 mois","Valide"))))</f>
      </c>
      <c r="P87" s="10" t="s">
        <v>26</v>
      </c>
      <c r="Q87" s="14" t="s">
        <v>345</v>
      </c>
      <c r="R87" s="10" t="s">
        <v>327</v>
      </c>
    </row>
    <row r="88" spans="1:18" x14ac:dyDescent="0.25">
      <c r="A88" s="4">
        <v>85</v>
      </c>
      <c r="B88" s="5" t="s">
        <v>321</v>
      </c>
      <c r="C88" s="4" t="s">
        <v>346</v>
      </c>
      <c r="D88" s="5" t="s">
        <v>47</v>
      </c>
      <c r="E88" s="5" t="s">
        <v>323</v>
      </c>
      <c r="F88" s="5" t="s">
        <v>347</v>
      </c>
      <c r="G88" s="5" t="s">
        <v>348</v>
      </c>
      <c r="H88" s="5"/>
      <c r="I88" s="4">
        <v>66</v>
      </c>
      <c r="J88" s="5"/>
      <c r="K88" s="5"/>
      <c r="L88" s="6"/>
      <c r="M88" s="6"/>
      <c r="N88" s="7">
        <f>IF(M88="","",M88-TODAY())</f>
      </c>
      <c r="O88" s="5">
        <f>IF(M88="","Non assuré / inconnu",IF(N88&lt;0,"Expirée",IF(N88&lt;=30,"Expire &lt; 30 j",IF(N88&lt;=120,"Expire &lt; 4 mois","Valide"))))</f>
      </c>
      <c r="P88" s="5" t="s">
        <v>26</v>
      </c>
      <c r="Q88" s="8"/>
      <c r="R88" s="5" t="s">
        <v>327</v>
      </c>
    </row>
    <row r="89" spans="1:18" x14ac:dyDescent="0.25">
      <c r="A89" s="9">
        <v>86</v>
      </c>
      <c r="B89" s="10" t="s">
        <v>321</v>
      </c>
      <c r="C89" s="9" t="s">
        <v>349</v>
      </c>
      <c r="D89" s="10" t="s">
        <v>47</v>
      </c>
      <c r="E89" s="10" t="s">
        <v>323</v>
      </c>
      <c r="F89" s="10" t="s">
        <v>350</v>
      </c>
      <c r="G89" s="10"/>
      <c r="H89" s="10"/>
      <c r="I89" s="9">
        <v>66</v>
      </c>
      <c r="J89" s="10"/>
      <c r="K89" s="10"/>
      <c r="L89" s="11"/>
      <c r="M89" s="11"/>
      <c r="N89" s="12">
        <f>IF(M89="","",M89-TODAY())</f>
      </c>
      <c r="O89" s="10">
        <f>IF(M89="","Non assuré / inconnu",IF(N89&lt;0,"Expirée",IF(N89&lt;=30,"Expire &lt; 30 j",IF(N89&lt;=120,"Expire &lt; 4 mois","Valide"))))</f>
      </c>
      <c r="P89" s="10" t="s">
        <v>26</v>
      </c>
      <c r="Q89" s="13" t="s">
        <v>341</v>
      </c>
      <c r="R89" s="10" t="s">
        <v>327</v>
      </c>
    </row>
    <row r="90" spans="1:18" x14ac:dyDescent="0.25">
      <c r="A90" s="4">
        <v>87</v>
      </c>
      <c r="B90" s="5" t="s">
        <v>321</v>
      </c>
      <c r="C90" s="4" t="s">
        <v>351</v>
      </c>
      <c r="D90" s="5" t="s">
        <v>47</v>
      </c>
      <c r="E90" s="5" t="s">
        <v>323</v>
      </c>
      <c r="F90" s="5" t="s">
        <v>352</v>
      </c>
      <c r="G90" s="5"/>
      <c r="H90" s="5"/>
      <c r="I90" s="4">
        <v>66</v>
      </c>
      <c r="J90" s="5"/>
      <c r="K90" s="5"/>
      <c r="L90" s="6"/>
      <c r="M90" s="6"/>
      <c r="N90" s="7">
        <f>IF(M90="","",M90-TODAY())</f>
      </c>
      <c r="O90" s="5">
        <f>IF(M90="","Non assuré / inconnu",IF(N90&lt;0,"Expirée",IF(N90&lt;=30,"Expire &lt; 30 j",IF(N90&lt;=120,"Expire &lt; 4 mois","Valide"))))</f>
      </c>
      <c r="P90" s="5" t="s">
        <v>26</v>
      </c>
      <c r="Q90" s="8" t="s">
        <v>341</v>
      </c>
      <c r="R90" s="5" t="s">
        <v>327</v>
      </c>
    </row>
    <row r="91" spans="1:18" x14ac:dyDescent="0.25">
      <c r="A91" s="9">
        <v>88</v>
      </c>
      <c r="B91" s="10" t="s">
        <v>321</v>
      </c>
      <c r="C91" s="9"/>
      <c r="D91" s="10" t="s">
        <v>47</v>
      </c>
      <c r="E91" s="10" t="s">
        <v>323</v>
      </c>
      <c r="F91" s="10" t="s">
        <v>353</v>
      </c>
      <c r="G91" s="10"/>
      <c r="H91" s="10"/>
      <c r="I91" s="9">
        <v>66</v>
      </c>
      <c r="J91" s="10"/>
      <c r="K91" s="10"/>
      <c r="L91" s="11"/>
      <c r="M91" s="11"/>
      <c r="N91" s="12">
        <f>IF(M91="","",M91-TODAY())</f>
      </c>
      <c r="O91" s="10">
        <f>IF(M91="","Non assuré / inconnu",IF(N91&lt;0,"Expirée",IF(N91&lt;=30,"Expire &lt; 30 j",IF(N91&lt;=120,"Expire &lt; 4 mois","Valide"))))</f>
      </c>
      <c r="P91" s="10" t="s">
        <v>26</v>
      </c>
      <c r="Q91" s="13" t="s">
        <v>354</v>
      </c>
      <c r="R91" s="10" t="s">
        <v>327</v>
      </c>
    </row>
    <row r="92" spans="1:18" x14ac:dyDescent="0.25">
      <c r="A92" s="4">
        <v>89</v>
      </c>
      <c r="B92" s="5" t="s">
        <v>355</v>
      </c>
      <c r="C92" s="4" t="s">
        <v>356</v>
      </c>
      <c r="D92" s="5" t="s">
        <v>47</v>
      </c>
      <c r="E92" s="5" t="s">
        <v>323</v>
      </c>
      <c r="F92" s="5" t="s">
        <v>357</v>
      </c>
      <c r="G92" s="5" t="s">
        <v>358</v>
      </c>
      <c r="H92" s="5"/>
      <c r="I92" s="4">
        <v>66</v>
      </c>
      <c r="J92" s="5"/>
      <c r="K92" s="5"/>
      <c r="L92" s="6"/>
      <c r="M92" s="6"/>
      <c r="N92" s="7">
        <f>IF(M92="","",M92-TODAY())</f>
      </c>
      <c r="O92" s="5">
        <f>IF(M92="","Non assuré / inconnu",IF(N92&lt;0,"Expirée",IF(N92&lt;=30,"Expire &lt; 30 j",IF(N92&lt;=120,"Expire &lt; 4 mois","Valide"))))</f>
      </c>
      <c r="P92" s="5" t="s">
        <v>26</v>
      </c>
      <c r="Q92" s="8"/>
      <c r="R92" s="5" t="s">
        <v>359</v>
      </c>
    </row>
    <row r="93" spans="1:18" x14ac:dyDescent="0.25">
      <c r="A93" s="9">
        <v>90</v>
      </c>
      <c r="B93" s="10" t="s">
        <v>355</v>
      </c>
      <c r="C93" s="9" t="s">
        <v>360</v>
      </c>
      <c r="D93" s="10" t="s">
        <v>47</v>
      </c>
      <c r="E93" s="10" t="s">
        <v>323</v>
      </c>
      <c r="F93" s="10" t="s">
        <v>361</v>
      </c>
      <c r="G93" s="10" t="s">
        <v>362</v>
      </c>
      <c r="H93" s="10"/>
      <c r="I93" s="9">
        <v>66</v>
      </c>
      <c r="J93" s="10"/>
      <c r="K93" s="10"/>
      <c r="L93" s="11"/>
      <c r="M93" s="11"/>
      <c r="N93" s="12">
        <f>IF(M93="","",M93-TODAY())</f>
      </c>
      <c r="O93" s="10">
        <f>IF(M93="","Non assuré / inconnu",IF(N93&lt;0,"Expirée",IF(N93&lt;=30,"Expire &lt; 30 j",IF(N93&lt;=120,"Expire &lt; 4 mois","Valide"))))</f>
      </c>
      <c r="P93" s="10" t="s">
        <v>26</v>
      </c>
      <c r="Q93" s="13" t="s">
        <v>363</v>
      </c>
      <c r="R93" s="10" t="s">
        <v>359</v>
      </c>
    </row>
    <row r="94" spans="1:18" x14ac:dyDescent="0.25">
      <c r="A94" s="4">
        <v>91</v>
      </c>
      <c r="B94" s="5" t="s">
        <v>355</v>
      </c>
      <c r="C94" s="4" t="s">
        <v>46</v>
      </c>
      <c r="D94" s="5" t="s">
        <v>47</v>
      </c>
      <c r="E94" s="5" t="s">
        <v>323</v>
      </c>
      <c r="F94" s="5" t="s">
        <v>364</v>
      </c>
      <c r="G94" s="5" t="s">
        <v>50</v>
      </c>
      <c r="H94" s="5"/>
      <c r="I94" s="4">
        <v>66</v>
      </c>
      <c r="J94" s="5"/>
      <c r="K94" s="5"/>
      <c r="L94" s="6"/>
      <c r="M94" s="6"/>
      <c r="N94" s="7">
        <f>IF(M94="","",M94-TODAY())</f>
      </c>
      <c r="O94" s="5">
        <f>IF(M94="","Non assuré / inconnu",IF(N94&lt;0,"Expirée",IF(N94&lt;=30,"Expire &lt; 30 j",IF(N94&lt;=120,"Expire &lt; 4 mois","Valide"))))</f>
      </c>
      <c r="P94" s="5" t="s">
        <v>26</v>
      </c>
      <c r="Q94" s="15" t="s">
        <v>365</v>
      </c>
      <c r="R94" s="5" t="s">
        <v>359</v>
      </c>
    </row>
    <row r="95" spans="1:18" x14ac:dyDescent="0.25">
      <c r="A95" s="9">
        <v>92</v>
      </c>
      <c r="B95" s="10" t="s">
        <v>355</v>
      </c>
      <c r="C95" s="9" t="s">
        <v>366</v>
      </c>
      <c r="D95" s="10" t="s">
        <v>47</v>
      </c>
      <c r="E95" s="10" t="s">
        <v>323</v>
      </c>
      <c r="F95" s="10" t="s">
        <v>367</v>
      </c>
      <c r="G95" s="10" t="s">
        <v>325</v>
      </c>
      <c r="H95" s="10"/>
      <c r="I95" s="9">
        <v>66</v>
      </c>
      <c r="J95" s="10"/>
      <c r="K95" s="10"/>
      <c r="L95" s="11"/>
      <c r="M95" s="11"/>
      <c r="N95" s="12">
        <f>IF(M95="","",M95-TODAY())</f>
      </c>
      <c r="O95" s="10">
        <f>IF(M95="","Non assuré / inconnu",IF(N95&lt;0,"Expirée",IF(N95&lt;=30,"Expire &lt; 30 j",IF(N95&lt;=120,"Expire &lt; 4 mois","Valide"))))</f>
      </c>
      <c r="P95" s="10" t="s">
        <v>26</v>
      </c>
      <c r="Q95" s="14" t="s">
        <v>368</v>
      </c>
      <c r="R95" s="10" t="s">
        <v>359</v>
      </c>
    </row>
    <row r="96" spans="1:18" x14ac:dyDescent="0.25">
      <c r="A96" s="4">
        <v>93</v>
      </c>
      <c r="B96" s="5" t="s">
        <v>355</v>
      </c>
      <c r="C96" s="4" t="s">
        <v>369</v>
      </c>
      <c r="D96" s="5" t="s">
        <v>47</v>
      </c>
      <c r="E96" s="5" t="s">
        <v>323</v>
      </c>
      <c r="F96" s="5" t="s">
        <v>370</v>
      </c>
      <c r="G96" s="5" t="s">
        <v>371</v>
      </c>
      <c r="H96" s="5"/>
      <c r="I96" s="4">
        <v>66</v>
      </c>
      <c r="J96" s="5"/>
      <c r="K96" s="5"/>
      <c r="L96" s="6"/>
      <c r="M96" s="6"/>
      <c r="N96" s="7">
        <f>IF(M96="","",M96-TODAY())</f>
      </c>
      <c r="O96" s="5">
        <f>IF(M96="","Non assuré / inconnu",IF(N96&lt;0,"Expirée",IF(N96&lt;=30,"Expire &lt; 30 j",IF(N96&lt;=120,"Expire &lt; 4 mois","Valide"))))</f>
      </c>
      <c r="P96" s="5" t="s">
        <v>26</v>
      </c>
      <c r="Q96" s="8"/>
      <c r="R96" s="5" t="s">
        <v>359</v>
      </c>
    </row>
    <row r="97" spans="1:18" x14ac:dyDescent="0.25">
      <c r="A97" s="9">
        <v>94</v>
      </c>
      <c r="B97" s="10" t="s">
        <v>355</v>
      </c>
      <c r="C97" s="9" t="s">
        <v>372</v>
      </c>
      <c r="D97" s="10" t="s">
        <v>47</v>
      </c>
      <c r="E97" s="10" t="s">
        <v>323</v>
      </c>
      <c r="F97" s="10" t="s">
        <v>373</v>
      </c>
      <c r="G97" s="10" t="s">
        <v>374</v>
      </c>
      <c r="H97" s="10"/>
      <c r="I97" s="9">
        <v>66</v>
      </c>
      <c r="J97" s="10"/>
      <c r="K97" s="10"/>
      <c r="L97" s="11"/>
      <c r="M97" s="11"/>
      <c r="N97" s="12">
        <f>IF(M97="","",M97-TODAY())</f>
      </c>
      <c r="O97" s="10">
        <f>IF(M97="","Non assuré / inconnu",IF(N97&lt;0,"Expirée",IF(N97&lt;=30,"Expire &lt; 30 j",IF(N97&lt;=120,"Expire &lt; 4 mois","Valide"))))</f>
      </c>
      <c r="P97" s="10" t="s">
        <v>26</v>
      </c>
      <c r="Q97" s="13"/>
      <c r="R97" s="10" t="s">
        <v>359</v>
      </c>
    </row>
    <row r="98" spans="1:18" x14ac:dyDescent="0.25">
      <c r="A98" s="4">
        <v>95</v>
      </c>
      <c r="B98" s="5" t="s">
        <v>355</v>
      </c>
      <c r="C98" s="4" t="s">
        <v>375</v>
      </c>
      <c r="D98" s="5" t="s">
        <v>47</v>
      </c>
      <c r="E98" s="5" t="s">
        <v>323</v>
      </c>
      <c r="F98" s="5" t="s">
        <v>376</v>
      </c>
      <c r="G98" s="5" t="s">
        <v>377</v>
      </c>
      <c r="H98" s="5"/>
      <c r="I98" s="4">
        <v>66</v>
      </c>
      <c r="J98" s="5"/>
      <c r="K98" s="5"/>
      <c r="L98" s="6"/>
      <c r="M98" s="6"/>
      <c r="N98" s="7">
        <f>IF(M98="","",M98-TODAY())</f>
      </c>
      <c r="O98" s="5">
        <f>IF(M98="","Non assuré / inconnu",IF(N98&lt;0,"Expirée",IF(N98&lt;=30,"Expire &lt; 30 j",IF(N98&lt;=120,"Expire &lt; 4 mois","Valide"))))</f>
      </c>
      <c r="P98" s="5" t="s">
        <v>26</v>
      </c>
      <c r="Q98" s="8"/>
      <c r="R98" s="5" t="s">
        <v>359</v>
      </c>
    </row>
    <row r="99" spans="1:18" x14ac:dyDescent="0.25">
      <c r="A99" s="9">
        <v>96</v>
      </c>
      <c r="B99" s="10" t="s">
        <v>355</v>
      </c>
      <c r="C99" s="9"/>
      <c r="D99" s="10" t="s">
        <v>47</v>
      </c>
      <c r="E99" s="10" t="s">
        <v>323</v>
      </c>
      <c r="F99" s="10" t="s">
        <v>378</v>
      </c>
      <c r="G99" s="10" t="s">
        <v>379</v>
      </c>
      <c r="H99" s="10"/>
      <c r="I99" s="9">
        <v>66</v>
      </c>
      <c r="J99" s="10"/>
      <c r="K99" s="10"/>
      <c r="L99" s="11"/>
      <c r="M99" s="11"/>
      <c r="N99" s="12">
        <f>IF(M99="","",M99-TODAY())</f>
      </c>
      <c r="O99" s="10">
        <f>IF(M99="","Non assuré / inconnu",IF(N99&lt;0,"Expirée",IF(N99&lt;=30,"Expire &lt; 30 j",IF(N99&lt;=120,"Expire &lt; 4 mois","Valide"))))</f>
      </c>
      <c r="P99" s="10" t="s">
        <v>26</v>
      </c>
      <c r="Q99" s="13" t="s">
        <v>320</v>
      </c>
      <c r="R99" s="10" t="s">
        <v>359</v>
      </c>
    </row>
    <row r="100" spans="1:18" x14ac:dyDescent="0.25">
      <c r="A100" s="4">
        <v>97</v>
      </c>
      <c r="B100" s="5" t="s">
        <v>355</v>
      </c>
      <c r="C100" s="4"/>
      <c r="D100" s="5" t="s">
        <v>47</v>
      </c>
      <c r="E100" s="5" t="s">
        <v>323</v>
      </c>
      <c r="F100" s="5" t="s">
        <v>380</v>
      </c>
      <c r="G100" s="5"/>
      <c r="H100" s="5"/>
      <c r="I100" s="4">
        <v>66</v>
      </c>
      <c r="J100" s="5"/>
      <c r="K100" s="5"/>
      <c r="L100" s="6"/>
      <c r="M100" s="6"/>
      <c r="N100" s="7">
        <f>IF(M100="","",M100-TODAY())</f>
      </c>
      <c r="O100" s="5">
        <f>IF(M100="","Non assuré / inconnu",IF(N100&lt;0,"Expirée",IF(N100&lt;=30,"Expire &lt; 30 j",IF(N100&lt;=120,"Expire &lt; 4 mois","Valide"))))</f>
      </c>
      <c r="P100" s="5" t="s">
        <v>26</v>
      </c>
      <c r="Q100" s="8" t="s">
        <v>381</v>
      </c>
      <c r="R100" s="5" t="s">
        <v>359</v>
      </c>
    </row>
    <row r="101" spans="1:18" x14ac:dyDescent="0.25">
      <c r="A101" s="9">
        <v>98</v>
      </c>
      <c r="B101" s="10" t="s">
        <v>355</v>
      </c>
      <c r="C101" s="9"/>
      <c r="D101" s="10" t="s">
        <v>47</v>
      </c>
      <c r="E101" s="10" t="s">
        <v>323</v>
      </c>
      <c r="F101" s="10" t="s">
        <v>49</v>
      </c>
      <c r="G101" s="10"/>
      <c r="H101" s="10"/>
      <c r="I101" s="9">
        <v>66</v>
      </c>
      <c r="J101" s="10"/>
      <c r="K101" s="10"/>
      <c r="L101" s="11"/>
      <c r="M101" s="11"/>
      <c r="N101" s="12">
        <f>IF(M101="","",M101-TODAY())</f>
      </c>
      <c r="O101" s="10">
        <f>IF(M101="","Non assuré / inconnu",IF(N101&lt;0,"Expirée",IF(N101&lt;=30,"Expire &lt; 30 j",IF(N101&lt;=120,"Expire &lt; 4 mois","Valide"))))</f>
      </c>
      <c r="P101" s="10" t="s">
        <v>26</v>
      </c>
      <c r="Q101" s="14" t="s">
        <v>382</v>
      </c>
      <c r="R101" s="10" t="s">
        <v>359</v>
      </c>
    </row>
    <row r="102" spans="1:18" x14ac:dyDescent="0.25">
      <c r="A102" s="4">
        <v>99</v>
      </c>
      <c r="B102" s="5" t="s">
        <v>355</v>
      </c>
      <c r="C102" s="4"/>
      <c r="D102" s="5" t="s">
        <v>47</v>
      </c>
      <c r="E102" s="5" t="s">
        <v>323</v>
      </c>
      <c r="F102" s="5" t="s">
        <v>293</v>
      </c>
      <c r="G102" s="5"/>
      <c r="H102" s="5"/>
      <c r="I102" s="4">
        <v>66</v>
      </c>
      <c r="J102" s="5"/>
      <c r="K102" s="5"/>
      <c r="L102" s="6"/>
      <c r="M102" s="6"/>
      <c r="N102" s="7">
        <f>IF(M102="","",M102-TODAY())</f>
      </c>
      <c r="O102" s="5">
        <f>IF(M102="","Non assuré / inconnu",IF(N102&lt;0,"Expirée",IF(N102&lt;=30,"Expire &lt; 30 j",IF(N102&lt;=120,"Expire &lt; 4 mois","Valide"))))</f>
      </c>
      <c r="P102" s="5" t="s">
        <v>26</v>
      </c>
      <c r="Q102" s="15" t="s">
        <v>383</v>
      </c>
      <c r="R102" s="5" t="s">
        <v>359</v>
      </c>
    </row>
    <row r="103" spans="1:18" x14ac:dyDescent="0.25">
      <c r="A103" s="9">
        <v>100</v>
      </c>
      <c r="B103" s="10" t="s">
        <v>355</v>
      </c>
      <c r="C103" s="9"/>
      <c r="D103" s="10" t="s">
        <v>47</v>
      </c>
      <c r="E103" s="10" t="s">
        <v>323</v>
      </c>
      <c r="F103" s="10" t="s">
        <v>384</v>
      </c>
      <c r="G103" s="10" t="s">
        <v>344</v>
      </c>
      <c r="H103" s="10"/>
      <c r="I103" s="9">
        <v>66</v>
      </c>
      <c r="J103" s="10"/>
      <c r="K103" s="10"/>
      <c r="L103" s="11"/>
      <c r="M103" s="11"/>
      <c r="N103" s="12">
        <f>IF(M103="","",M103-TODAY())</f>
      </c>
      <c r="O103" s="10">
        <f>IF(M103="","Non assuré / inconnu",IF(N103&lt;0,"Expirée",IF(N103&lt;=30,"Expire &lt; 30 j",IF(N103&lt;=120,"Expire &lt; 4 mois","Valide"))))</f>
      </c>
      <c r="P103" s="10" t="s">
        <v>26</v>
      </c>
      <c r="Q103" s="14" t="s">
        <v>385</v>
      </c>
      <c r="R103" s="10" t="s">
        <v>359</v>
      </c>
    </row>
    <row r="104" spans="1:18" x14ac:dyDescent="0.25">
      <c r="A104" s="4">
        <v>101</v>
      </c>
      <c r="B104" s="5" t="s">
        <v>355</v>
      </c>
      <c r="C104" s="4"/>
      <c r="D104" s="5" t="s">
        <v>47</v>
      </c>
      <c r="E104" s="5" t="s">
        <v>323</v>
      </c>
      <c r="F104" s="5" t="s">
        <v>386</v>
      </c>
      <c r="G104" s="5" t="s">
        <v>387</v>
      </c>
      <c r="H104" s="5"/>
      <c r="I104" s="4">
        <v>66</v>
      </c>
      <c r="J104" s="5"/>
      <c r="K104" s="5"/>
      <c r="L104" s="6"/>
      <c r="M104" s="6"/>
      <c r="N104" s="7">
        <f>IF(M104="","",M104-TODAY())</f>
      </c>
      <c r="O104" s="5">
        <f>IF(M104="","Non assuré / inconnu",IF(N104&lt;0,"Expirée",IF(N104&lt;=30,"Expire &lt; 30 j",IF(N104&lt;=120,"Expire &lt; 4 mois","Valide"))))</f>
      </c>
      <c r="P104" s="5" t="s">
        <v>26</v>
      </c>
      <c r="Q104" s="8" t="s">
        <v>388</v>
      </c>
      <c r="R104" s="5" t="s">
        <v>359</v>
      </c>
    </row>
    <row r="105" spans="1:18" x14ac:dyDescent="0.25">
      <c r="A105" s="9">
        <v>102</v>
      </c>
      <c r="B105" s="10" t="s">
        <v>355</v>
      </c>
      <c r="C105" s="9"/>
      <c r="D105" s="10" t="s">
        <v>47</v>
      </c>
      <c r="E105" s="10" t="s">
        <v>323</v>
      </c>
      <c r="F105" s="10" t="s">
        <v>389</v>
      </c>
      <c r="G105" s="10" t="s">
        <v>390</v>
      </c>
      <c r="H105" s="10"/>
      <c r="I105" s="9">
        <v>66</v>
      </c>
      <c r="J105" s="10"/>
      <c r="K105" s="10"/>
      <c r="L105" s="11"/>
      <c r="M105" s="11"/>
      <c r="N105" s="12">
        <f>IF(M105="","",M105-TODAY())</f>
      </c>
      <c r="O105" s="10">
        <f>IF(M105="","Non assuré / inconnu",IF(N105&lt;0,"Expirée",IF(N105&lt;=30,"Expire &lt; 30 j",IF(N105&lt;=120,"Expire &lt; 4 mois","Valide"))))</f>
      </c>
      <c r="P105" s="10" t="s">
        <v>26</v>
      </c>
      <c r="Q105" s="13" t="s">
        <v>388</v>
      </c>
      <c r="R105" s="10" t="s">
        <v>359</v>
      </c>
    </row>
    <row r="106" spans="1:18" x14ac:dyDescent="0.25">
      <c r="A106" s="4">
        <v>103</v>
      </c>
      <c r="B106" s="5" t="s">
        <v>355</v>
      </c>
      <c r="C106" s="4"/>
      <c r="D106" s="5" t="s">
        <v>47</v>
      </c>
      <c r="E106" s="5" t="s">
        <v>323</v>
      </c>
      <c r="F106" s="5" t="s">
        <v>391</v>
      </c>
      <c r="G106" s="5" t="s">
        <v>392</v>
      </c>
      <c r="H106" s="5"/>
      <c r="I106" s="4">
        <v>66</v>
      </c>
      <c r="J106" s="5"/>
      <c r="K106" s="5"/>
      <c r="L106" s="6"/>
      <c r="M106" s="6"/>
      <c r="N106" s="7">
        <f>IF(M106="","",M106-TODAY())</f>
      </c>
      <c r="O106" s="5">
        <f>IF(M106="","Non assuré / inconnu",IF(N106&lt;0,"Expirée",IF(N106&lt;=30,"Expire &lt; 30 j",IF(N106&lt;=120,"Expire &lt; 4 mois","Valide"))))</f>
      </c>
      <c r="P106" s="5" t="s">
        <v>26</v>
      </c>
      <c r="Q106" s="8" t="s">
        <v>388</v>
      </c>
      <c r="R106" s="5" t="s">
        <v>359</v>
      </c>
    </row>
    <row r="107" spans="1:18" x14ac:dyDescent="0.25">
      <c r="A107" s="9">
        <v>104</v>
      </c>
      <c r="B107" s="10" t="s">
        <v>355</v>
      </c>
      <c r="C107" s="9"/>
      <c r="D107" s="10" t="s">
        <v>47</v>
      </c>
      <c r="E107" s="10" t="s">
        <v>323</v>
      </c>
      <c r="F107" s="10" t="s">
        <v>393</v>
      </c>
      <c r="G107" s="10" t="s">
        <v>394</v>
      </c>
      <c r="H107" s="10"/>
      <c r="I107" s="9">
        <v>66</v>
      </c>
      <c r="J107" s="10"/>
      <c r="K107" s="10"/>
      <c r="L107" s="11"/>
      <c r="M107" s="11"/>
      <c r="N107" s="12">
        <f>IF(M107="","",M107-TODAY())</f>
      </c>
      <c r="O107" s="10">
        <f>IF(M107="","Non assuré / inconnu",IF(N107&lt;0,"Expirée",IF(N107&lt;=30,"Expire &lt; 30 j",IF(N107&lt;=120,"Expire &lt; 4 mois","Valide"))))</f>
      </c>
      <c r="P107" s="10" t="s">
        <v>26</v>
      </c>
      <c r="Q107" s="13" t="s">
        <v>388</v>
      </c>
      <c r="R107" s="10" t="s">
        <v>359</v>
      </c>
    </row>
    <row r="108" spans="1:18" x14ac:dyDescent="0.25">
      <c r="A108" s="4">
        <v>105</v>
      </c>
      <c r="B108" s="5" t="s">
        <v>355</v>
      </c>
      <c r="C108" s="4"/>
      <c r="D108" s="5" t="s">
        <v>47</v>
      </c>
      <c r="E108" s="5" t="s">
        <v>323</v>
      </c>
      <c r="F108" s="5" t="s">
        <v>289</v>
      </c>
      <c r="G108" s="5" t="s">
        <v>395</v>
      </c>
      <c r="H108" s="5"/>
      <c r="I108" s="4">
        <v>66</v>
      </c>
      <c r="J108" s="5"/>
      <c r="K108" s="5"/>
      <c r="L108" s="6"/>
      <c r="M108" s="6"/>
      <c r="N108" s="7">
        <f>IF(M108="","",M108-TODAY())</f>
      </c>
      <c r="O108" s="5">
        <f>IF(M108="","Non assuré / inconnu",IF(N108&lt;0,"Expirée",IF(N108&lt;=30,"Expire &lt; 30 j",IF(N108&lt;=120,"Expire &lt; 4 mois","Valide"))))</f>
      </c>
      <c r="P108" s="5" t="s">
        <v>26</v>
      </c>
      <c r="Q108" s="15" t="s">
        <v>396</v>
      </c>
      <c r="R108" s="5" t="s">
        <v>359</v>
      </c>
    </row>
    <row r="109" spans="1:18" x14ac:dyDescent="0.25">
      <c r="A109" s="9">
        <v>106</v>
      </c>
      <c r="B109" s="10" t="s">
        <v>355</v>
      </c>
      <c r="C109" s="9"/>
      <c r="D109" s="10" t="s">
        <v>47</v>
      </c>
      <c r="E109" s="10" t="s">
        <v>323</v>
      </c>
      <c r="F109" s="10" t="s">
        <v>74</v>
      </c>
      <c r="G109" s="10" t="s">
        <v>397</v>
      </c>
      <c r="H109" s="10"/>
      <c r="I109" s="9">
        <v>66</v>
      </c>
      <c r="J109" s="10"/>
      <c r="K109" s="10"/>
      <c r="L109" s="11"/>
      <c r="M109" s="11"/>
      <c r="N109" s="12">
        <f>IF(M109="","",M109-TODAY())</f>
      </c>
      <c r="O109" s="10">
        <f>IF(M109="","Non assuré / inconnu",IF(N109&lt;0,"Expirée",IF(N109&lt;=30,"Expire &lt; 30 j",IF(N109&lt;=120,"Expire &lt; 4 mois","Valide"))))</f>
      </c>
      <c r="P109" s="10" t="s">
        <v>26</v>
      </c>
      <c r="Q109" s="14" t="s">
        <v>398</v>
      </c>
      <c r="R109" s="10" t="s">
        <v>359</v>
      </c>
    </row>
    <row r="110" spans="1:18" x14ac:dyDescent="0.25">
      <c r="A110" s="4">
        <v>107</v>
      </c>
      <c r="B110" s="5" t="s">
        <v>355</v>
      </c>
      <c r="C110" s="4"/>
      <c r="D110" s="5" t="s">
        <v>47</v>
      </c>
      <c r="E110" s="5" t="s">
        <v>323</v>
      </c>
      <c r="F110" s="5" t="s">
        <v>399</v>
      </c>
      <c r="G110" s="5" t="s">
        <v>400</v>
      </c>
      <c r="H110" s="5"/>
      <c r="I110" s="4">
        <v>66</v>
      </c>
      <c r="J110" s="5"/>
      <c r="K110" s="5"/>
      <c r="L110" s="6"/>
      <c r="M110" s="6"/>
      <c r="N110" s="7">
        <f>IF(M110="","",M110-TODAY())</f>
      </c>
      <c r="O110" s="5">
        <f>IF(M110="","Non assuré / inconnu",IF(N110&lt;0,"Expirée",IF(N110&lt;=30,"Expire &lt; 30 j",IF(N110&lt;=120,"Expire &lt; 4 mois","Valide"))))</f>
      </c>
      <c r="P110" s="5" t="s">
        <v>26</v>
      </c>
      <c r="Q110" s="8" t="s">
        <v>388</v>
      </c>
      <c r="R110" s="5" t="s">
        <v>359</v>
      </c>
    </row>
    <row r="111" spans="1:18" x14ac:dyDescent="0.25">
      <c r="A111" s="9">
        <v>108</v>
      </c>
      <c r="B111" s="10" t="s">
        <v>355</v>
      </c>
      <c r="C111" s="9"/>
      <c r="D111" s="10" t="s">
        <v>47</v>
      </c>
      <c r="E111" s="10" t="s">
        <v>323</v>
      </c>
      <c r="F111" s="10" t="s">
        <v>401</v>
      </c>
      <c r="G111" s="10" t="s">
        <v>402</v>
      </c>
      <c r="H111" s="10"/>
      <c r="I111" s="9">
        <v>66</v>
      </c>
      <c r="J111" s="10"/>
      <c r="K111" s="10"/>
      <c r="L111" s="11"/>
      <c r="M111" s="11"/>
      <c r="N111" s="12">
        <f>IF(M111="","",M111-TODAY())</f>
      </c>
      <c r="O111" s="10">
        <f>IF(M111="","Non assuré / inconnu",IF(N111&lt;0,"Expirée",IF(N111&lt;=30,"Expire &lt; 30 j",IF(N111&lt;=120,"Expire &lt; 4 mois","Valide"))))</f>
      </c>
      <c r="P111" s="10" t="s">
        <v>26</v>
      </c>
      <c r="Q111" s="13" t="s">
        <v>388</v>
      </c>
      <c r="R111" s="10" t="s">
        <v>359</v>
      </c>
    </row>
    <row r="112" spans="1:18" x14ac:dyDescent="0.25">
      <c r="A112" s="4">
        <v>109</v>
      </c>
      <c r="B112" s="5" t="s">
        <v>355</v>
      </c>
      <c r="C112" s="4"/>
      <c r="D112" s="5" t="s">
        <v>47</v>
      </c>
      <c r="E112" s="5" t="s">
        <v>323</v>
      </c>
      <c r="F112" s="5" t="s">
        <v>403</v>
      </c>
      <c r="G112" s="5" t="s">
        <v>404</v>
      </c>
      <c r="H112" s="5"/>
      <c r="I112" s="4">
        <v>66</v>
      </c>
      <c r="J112" s="5"/>
      <c r="K112" s="5"/>
      <c r="L112" s="6"/>
      <c r="M112" s="6"/>
      <c r="N112" s="7">
        <f>IF(M112="","",M112-TODAY())</f>
      </c>
      <c r="O112" s="5">
        <f>IF(M112="","Non assuré / inconnu",IF(N112&lt;0,"Expirée",IF(N112&lt;=30,"Expire &lt; 30 j",IF(N112&lt;=120,"Expire &lt; 4 mois","Valide"))))</f>
      </c>
      <c r="P112" s="5" t="s">
        <v>26</v>
      </c>
      <c r="Q112" s="8" t="s">
        <v>388</v>
      </c>
      <c r="R112" s="5" t="s">
        <v>359</v>
      </c>
    </row>
  </sheetData>
  <autoFilter ref="A3:R112"/>
  <mergeCells count="2">
    <mergeCell ref="A1:R1"/>
    <mergeCell ref="A2:R2"/>
  </mergeCells>
  <conditionalFormatting sqref="O4:O112">
    <cfRule type="containsText" dxfId="0" priority="1">
      <formula>NOT(ISERROR(SEARCH("Expirée",O4)))</formula>
    </cfRule>
  </conditionalFormatting>
  <conditionalFormatting sqref="O4:O112">
    <cfRule type="containsText" dxfId="1" priority="2">
      <formula>NOT(ISERROR(SEARCH("&lt; 30",O4)))</formula>
    </cfRule>
  </conditionalFormatting>
  <conditionalFormatting sqref="O4:O112">
    <cfRule type="containsText" dxfId="2" priority="3">
      <formula>NOT(ISERROR(SEARCH("4 mois",O4)))</formula>
    </cfRule>
  </conditionalFormatting>
  <conditionalFormatting sqref="O4:O112">
    <cfRule type="containsText" dxfId="3" priority="4">
      <formula>NOT(ISERROR(SEARCH("Valide",O4)))</formula>
    </cfRule>
  </conditionalFormatting>
  <conditionalFormatting sqref="O4:O112">
    <cfRule type="containsText" dxfId="4" priority="5">
      <formula>NOT(ISERROR(SEARCH("Non assuré",O4)))</formula>
    </cfRule>
  </conditionalFormatting>
  <conditionalFormatting sqref="P4:P112">
    <cfRule type="containsText" dxfId="5" priority="6">
      <formula>NOT(ISERROR(SEARCH("En panne",P4)))</formula>
    </cfRule>
  </conditionalFormatting>
  <conditionalFormatting sqref="P4:P112">
    <cfRule type="containsText" dxfId="6" priority="7">
      <formula>NOT(ISERROR(SEARCH("Stand-by",P4)))</formula>
    </cfRule>
  </conditionalFormatting>
  <conditionalFormatting sqref="P4:P112">
    <cfRule type="containsText" dxfId="7" priority="8">
      <formula>NOT(ISERROR(SEARCH("Opérationnel",P4)))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FormatPr defaultRowHeight="15" outlineLevelRow="0" outlineLevelCol="0" x14ac:dyDescent="55"/>
  <cols>
    <col min="1" max="1" width="18" customWidth="1"/>
    <col min="2" max="9" width="14" customWidth="1"/>
  </cols>
  <sheetData>
    <row r="1" spans="1:9" x14ac:dyDescent="0.25">
      <c r="A1" s="1" t="s">
        <v>405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32" customHeight="1" spans="1:9" x14ac:dyDescent="0.25">
      <c r="A4" s="3" t="s">
        <v>3</v>
      </c>
      <c r="B4" s="3" t="s">
        <v>406</v>
      </c>
      <c r="C4" s="3" t="s">
        <v>70</v>
      </c>
      <c r="D4" s="3" t="s">
        <v>77</v>
      </c>
      <c r="E4" s="3" t="s">
        <v>181</v>
      </c>
      <c r="F4" s="3" t="s">
        <v>407</v>
      </c>
      <c r="G4" s="3" t="s">
        <v>408</v>
      </c>
      <c r="H4" s="3" t="s">
        <v>409</v>
      </c>
      <c r="I4" s="3" t="s">
        <v>410</v>
      </c>
    </row>
    <row r="5" spans="1:9" x14ac:dyDescent="0.25">
      <c r="A5" s="16" t="s">
        <v>20</v>
      </c>
      <c r="B5" s="16">
        <f>COUNTIF('Parc consolidé'!$B$4:$B$112,A5)</f>
      </c>
      <c r="C5" s="16">
        <f>COUNTIFS('Parc consolidé'!$B$4:$B$112,A5,'Parc consolidé'!$P$4:$P$112,"Opérationnel")</f>
      </c>
      <c r="D5" s="16">
        <f>COUNTIFS('Parc consolidé'!$B$4:$B$112,A5,'Parc consolidé'!$P$4:$P$112,"En panne")</f>
      </c>
      <c r="E5" s="16">
        <f>COUNTIFS('Parc consolidé'!$B$4:$B$112,A5,'Parc consolidé'!$P$4:$P$112,"Stand-by")</f>
      </c>
      <c r="F5" s="16">
        <f>COUNTIFS('Parc consolidé'!$B$4:$B$112,A5,'Parc consolidé'!$P$4:$P$112,"Non renseigné")</f>
      </c>
      <c r="G5" s="17">
        <f>IF(B5-F5=0,"",C5/(B5-F5))</f>
      </c>
      <c r="H5" s="16">
        <f>COUNTIFS('Parc consolidé'!$B$4:$B$112,A5,'Parc consolidé'!$O$4:$O$112,"Expirée")</f>
      </c>
      <c r="I5" s="16">
        <f>COUNTIFS('Parc consolidé'!$B$4:$B$112,A5,'Parc consolidé'!$O$4:$O$112,"Non assuré / inconnu")</f>
      </c>
    </row>
    <row r="6" spans="1:9" x14ac:dyDescent="0.25">
      <c r="A6" s="16" t="s">
        <v>64</v>
      </c>
      <c r="B6" s="16">
        <f>COUNTIF('Parc consolidé'!$B$4:$B$112,A6)</f>
      </c>
      <c r="C6" s="16">
        <f>COUNTIFS('Parc consolidé'!$B$4:$B$112,A6,'Parc consolidé'!$P$4:$P$112,"Opérationnel")</f>
      </c>
      <c r="D6" s="16">
        <f>COUNTIFS('Parc consolidé'!$B$4:$B$112,A6,'Parc consolidé'!$P$4:$P$112,"En panne")</f>
      </c>
      <c r="E6" s="16">
        <f>COUNTIFS('Parc consolidé'!$B$4:$B$112,A6,'Parc consolidé'!$P$4:$P$112,"Stand-by")</f>
      </c>
      <c r="F6" s="16">
        <f>COUNTIFS('Parc consolidé'!$B$4:$B$112,A6,'Parc consolidé'!$P$4:$P$112,"Non renseigné")</f>
      </c>
      <c r="G6" s="17">
        <f>IF(B6-F6=0,"",C6/(B6-F6))</f>
      </c>
      <c r="H6" s="16">
        <f>COUNTIFS('Parc consolidé'!$B$4:$B$112,A6,'Parc consolidé'!$O$4:$O$112,"Expirée")</f>
      </c>
      <c r="I6" s="16">
        <f>COUNTIFS('Parc consolidé'!$B$4:$B$112,A6,'Parc consolidé'!$O$4:$O$112,"Non assuré / inconnu")</f>
      </c>
    </row>
    <row r="7" spans="1:9" x14ac:dyDescent="0.25">
      <c r="A7" s="16" t="s">
        <v>259</v>
      </c>
      <c r="B7" s="16">
        <f>COUNTIF('Parc consolidé'!$B$4:$B$112,A7)</f>
      </c>
      <c r="C7" s="16">
        <f>COUNTIFS('Parc consolidé'!$B$4:$B$112,A7,'Parc consolidé'!$P$4:$P$112,"Opérationnel")</f>
      </c>
      <c r="D7" s="16">
        <f>COUNTIFS('Parc consolidé'!$B$4:$B$112,A7,'Parc consolidé'!$P$4:$P$112,"En panne")</f>
      </c>
      <c r="E7" s="16">
        <f>COUNTIFS('Parc consolidé'!$B$4:$B$112,A7,'Parc consolidé'!$P$4:$P$112,"Stand-by")</f>
      </c>
      <c r="F7" s="16">
        <f>COUNTIFS('Parc consolidé'!$B$4:$B$112,A7,'Parc consolidé'!$P$4:$P$112,"Non renseigné")</f>
      </c>
      <c r="G7" s="17">
        <f>IF(B7-F7=0,"",C7/(B7-F7))</f>
      </c>
      <c r="H7" s="16">
        <f>COUNTIFS('Parc consolidé'!$B$4:$B$112,A7,'Parc consolidé'!$O$4:$O$112,"Expirée")</f>
      </c>
      <c r="I7" s="16">
        <f>COUNTIFS('Parc consolidé'!$B$4:$B$112,A7,'Parc consolidé'!$O$4:$O$112,"Non assuré / inconnu")</f>
      </c>
    </row>
    <row r="8" spans="1:9" x14ac:dyDescent="0.25">
      <c r="A8" s="16" t="s">
        <v>321</v>
      </c>
      <c r="B8" s="16">
        <f>COUNTIF('Parc consolidé'!$B$4:$B$112,A8)</f>
      </c>
      <c r="C8" s="16">
        <f>COUNTIFS('Parc consolidé'!$B$4:$B$112,A8,'Parc consolidé'!$P$4:$P$112,"Opérationnel")</f>
      </c>
      <c r="D8" s="16">
        <f>COUNTIFS('Parc consolidé'!$B$4:$B$112,A8,'Parc consolidé'!$P$4:$P$112,"En panne")</f>
      </c>
      <c r="E8" s="16">
        <f>COUNTIFS('Parc consolidé'!$B$4:$B$112,A8,'Parc consolidé'!$P$4:$P$112,"Stand-by")</f>
      </c>
      <c r="F8" s="16">
        <f>COUNTIFS('Parc consolidé'!$B$4:$B$112,A8,'Parc consolidé'!$P$4:$P$112,"Non renseigné")</f>
      </c>
      <c r="G8" s="17">
        <f>IF(B8-F8=0,"",C8/(B8-F8))</f>
      </c>
      <c r="H8" s="16">
        <f>COUNTIFS('Parc consolidé'!$B$4:$B$112,A8,'Parc consolidé'!$O$4:$O$112,"Expirée")</f>
      </c>
      <c r="I8" s="16">
        <f>COUNTIFS('Parc consolidé'!$B$4:$B$112,A8,'Parc consolidé'!$O$4:$O$112,"Non assuré / inconnu")</f>
      </c>
    </row>
    <row r="9" spans="1:9" x14ac:dyDescent="0.25">
      <c r="A9" s="16" t="s">
        <v>355</v>
      </c>
      <c r="B9" s="16">
        <f>COUNTIF('Parc consolidé'!$B$4:$B$112,A9)</f>
      </c>
      <c r="C9" s="16">
        <f>COUNTIFS('Parc consolidé'!$B$4:$B$112,A9,'Parc consolidé'!$P$4:$P$112,"Opérationnel")</f>
      </c>
      <c r="D9" s="16">
        <f>COUNTIFS('Parc consolidé'!$B$4:$B$112,A9,'Parc consolidé'!$P$4:$P$112,"En panne")</f>
      </c>
      <c r="E9" s="16">
        <f>COUNTIFS('Parc consolidé'!$B$4:$B$112,A9,'Parc consolidé'!$P$4:$P$112,"Stand-by")</f>
      </c>
      <c r="F9" s="16">
        <f>COUNTIFS('Parc consolidé'!$B$4:$B$112,A9,'Parc consolidé'!$P$4:$P$112,"Non renseigné")</f>
      </c>
      <c r="G9" s="17">
        <f>IF(B9-F9=0,"",C9/(B9-F9))</f>
      </c>
      <c r="H9" s="16">
        <f>COUNTIFS('Parc consolidé'!$B$4:$B$112,A9,'Parc consolidé'!$O$4:$O$112,"Expirée")</f>
      </c>
      <c r="I9" s="16">
        <f>COUNTIFS('Parc consolidé'!$B$4:$B$112,A9,'Parc consolidé'!$O$4:$O$112,"Non assuré / inconnu")</f>
      </c>
    </row>
    <row r="10" spans="1:9" s="18" customFormat="1" x14ac:dyDescent="0.25">
      <c r="A10" s="19" t="s">
        <v>411</v>
      </c>
      <c r="B10" s="19">
        <f>SUM(B5:B9)</f>
      </c>
      <c r="C10" s="19">
        <f>SUM(C5:C9)</f>
      </c>
      <c r="D10" s="19">
        <f>SUM(D5:D9)</f>
      </c>
      <c r="E10" s="19">
        <f>SUM(E5:E9)</f>
      </c>
      <c r="F10" s="19">
        <f>SUM(F5:F9)</f>
      </c>
      <c r="G10" s="20">
        <f>IF(B10-F10=0,"",C10/(B10-F10))</f>
      </c>
      <c r="H10" s="19">
        <f>SUM(H5:H9)</f>
      </c>
      <c r="I10" s="19">
        <f>SUM(I5:I9)</f>
      </c>
    </row>
    <row r="11" spans="1:1" x14ac:dyDescent="0.25">
      <c r="A11" s="21" t="s">
        <v>412</v>
      </c>
    </row>
    <row r="13" spans="1:1" x14ac:dyDescent="0.25">
      <c r="A13" s="22" t="s">
        <v>413</v>
      </c>
    </row>
    <row r="14" ht="32" customHeight="1" spans="1:7" x14ac:dyDescent="0.25">
      <c r="A14" s="3" t="s">
        <v>5</v>
      </c>
      <c r="B14" s="3" t="s">
        <v>20</v>
      </c>
      <c r="C14" s="3" t="s">
        <v>64</v>
      </c>
      <c r="D14" s="3" t="s">
        <v>259</v>
      </c>
      <c r="E14" s="3" t="s">
        <v>321</v>
      </c>
      <c r="F14" s="3" t="s">
        <v>355</v>
      </c>
      <c r="G14" s="3" t="s">
        <v>414</v>
      </c>
    </row>
    <row r="15" spans="1:7" x14ac:dyDescent="0.25">
      <c r="A15" s="16" t="s">
        <v>39</v>
      </c>
      <c r="B15" s="16">
        <f>COUNTIFS('Parc consolidé'!$D$4:$D$112,$A15,'Parc consolidé'!$B$4:$B$112,B$14)</f>
      </c>
      <c r="C15" s="16">
        <f>COUNTIFS('Parc consolidé'!$D$4:$D$112,$A15,'Parc consolidé'!$B$4:$B$112,C$14)</f>
      </c>
      <c r="D15" s="16">
        <f>COUNTIFS('Parc consolidé'!$D$4:$D$112,$A15,'Parc consolidé'!$B$4:$B$112,D$14)</f>
      </c>
      <c r="E15" s="16">
        <f>COUNTIFS('Parc consolidé'!$D$4:$D$112,$A15,'Parc consolidé'!$B$4:$B$112,E$14)</f>
      </c>
      <c r="F15" s="16">
        <f>COUNTIFS('Parc consolidé'!$D$4:$D$112,$A15,'Parc consolidé'!$B$4:$B$112,F$14)</f>
      </c>
      <c r="G15" s="16">
        <f>SUM(B15:F15)</f>
      </c>
    </row>
    <row r="16" spans="1:7" x14ac:dyDescent="0.25">
      <c r="A16" s="16" t="s">
        <v>44</v>
      </c>
      <c r="B16" s="16">
        <f>COUNTIFS('Parc consolidé'!$D$4:$D$112,$A16,'Parc consolidé'!$B$4:$B$112,B$14)</f>
      </c>
      <c r="C16" s="16">
        <f>COUNTIFS('Parc consolidé'!$D$4:$D$112,$A16,'Parc consolidé'!$B$4:$B$112,C$14)</f>
      </c>
      <c r="D16" s="16">
        <f>COUNTIFS('Parc consolidé'!$D$4:$D$112,$A16,'Parc consolidé'!$B$4:$B$112,D$14)</f>
      </c>
      <c r="E16" s="16">
        <f>COUNTIFS('Parc consolidé'!$D$4:$D$112,$A16,'Parc consolidé'!$B$4:$B$112,E$14)</f>
      </c>
      <c r="F16" s="16">
        <f>COUNTIFS('Parc consolidé'!$D$4:$D$112,$A16,'Parc consolidé'!$B$4:$B$112,F$14)</f>
      </c>
      <c r="G16" s="16">
        <f>SUM(B16:F16)</f>
      </c>
    </row>
    <row r="17" spans="1:7" x14ac:dyDescent="0.25">
      <c r="A17" s="16" t="s">
        <v>148</v>
      </c>
      <c r="B17" s="16">
        <f>COUNTIFS('Parc consolidé'!$D$4:$D$112,$A17,'Parc consolidé'!$B$4:$B$112,B$14)</f>
      </c>
      <c r="C17" s="16">
        <f>COUNTIFS('Parc consolidé'!$D$4:$D$112,$A17,'Parc consolidé'!$B$4:$B$112,C$14)</f>
      </c>
      <c r="D17" s="16">
        <f>COUNTIFS('Parc consolidé'!$D$4:$D$112,$A17,'Parc consolidé'!$B$4:$B$112,D$14)</f>
      </c>
      <c r="E17" s="16">
        <f>COUNTIFS('Parc consolidé'!$D$4:$D$112,$A17,'Parc consolidé'!$B$4:$B$112,E$14)</f>
      </c>
      <c r="F17" s="16">
        <f>COUNTIFS('Parc consolidé'!$D$4:$D$112,$A17,'Parc consolidé'!$B$4:$B$112,F$14)</f>
      </c>
      <c r="G17" s="16">
        <f>SUM(B17:F17)</f>
      </c>
    </row>
    <row r="18" spans="1:7" x14ac:dyDescent="0.25">
      <c r="A18" s="16" t="s">
        <v>225</v>
      </c>
      <c r="B18" s="16">
        <f>COUNTIFS('Parc consolidé'!$D$4:$D$112,$A18,'Parc consolidé'!$B$4:$B$112,B$14)</f>
      </c>
      <c r="C18" s="16">
        <f>COUNTIFS('Parc consolidé'!$D$4:$D$112,$A18,'Parc consolidé'!$B$4:$B$112,C$14)</f>
      </c>
      <c r="D18" s="16">
        <f>COUNTIFS('Parc consolidé'!$D$4:$D$112,$A18,'Parc consolidé'!$B$4:$B$112,D$14)</f>
      </c>
      <c r="E18" s="16">
        <f>COUNTIFS('Parc consolidé'!$D$4:$D$112,$A18,'Parc consolidé'!$B$4:$B$112,E$14)</f>
      </c>
      <c r="F18" s="16">
        <f>COUNTIFS('Parc consolidé'!$D$4:$D$112,$A18,'Parc consolidé'!$B$4:$B$112,F$14)</f>
      </c>
      <c r="G18" s="16">
        <f>SUM(B18:F18)</f>
      </c>
    </row>
    <row r="19" spans="1:7" x14ac:dyDescent="0.25">
      <c r="A19" s="16" t="s">
        <v>101</v>
      </c>
      <c r="B19" s="16">
        <f>COUNTIFS('Parc consolidé'!$D$4:$D$112,$A19,'Parc consolidé'!$B$4:$B$112,B$14)</f>
      </c>
      <c r="C19" s="16">
        <f>COUNTIFS('Parc consolidé'!$D$4:$D$112,$A19,'Parc consolidé'!$B$4:$B$112,C$14)</f>
      </c>
      <c r="D19" s="16">
        <f>COUNTIFS('Parc consolidé'!$D$4:$D$112,$A19,'Parc consolidé'!$B$4:$B$112,D$14)</f>
      </c>
      <c r="E19" s="16">
        <f>COUNTIFS('Parc consolidé'!$D$4:$D$112,$A19,'Parc consolidé'!$B$4:$B$112,E$14)</f>
      </c>
      <c r="F19" s="16">
        <f>COUNTIFS('Parc consolidé'!$D$4:$D$112,$A19,'Parc consolidé'!$B$4:$B$112,F$14)</f>
      </c>
      <c r="G19" s="16">
        <f>SUM(B19:F19)</f>
      </c>
    </row>
    <row r="20" spans="1:7" x14ac:dyDescent="0.25">
      <c r="A20" s="16" t="s">
        <v>193</v>
      </c>
      <c r="B20" s="16">
        <f>COUNTIFS('Parc consolidé'!$D$4:$D$112,$A20,'Parc consolidé'!$B$4:$B$112,B$14)</f>
      </c>
      <c r="C20" s="16">
        <f>COUNTIFS('Parc consolidé'!$D$4:$D$112,$A20,'Parc consolidé'!$B$4:$B$112,C$14)</f>
      </c>
      <c r="D20" s="16">
        <f>COUNTIFS('Parc consolidé'!$D$4:$D$112,$A20,'Parc consolidé'!$B$4:$B$112,D$14)</f>
      </c>
      <c r="E20" s="16">
        <f>COUNTIFS('Parc consolidé'!$D$4:$D$112,$A20,'Parc consolidé'!$B$4:$B$112,E$14)</f>
      </c>
      <c r="F20" s="16">
        <f>COUNTIFS('Parc consolidé'!$D$4:$D$112,$A20,'Parc consolidé'!$B$4:$B$112,F$14)</f>
      </c>
      <c r="G20" s="16">
        <f>SUM(B20:F20)</f>
      </c>
    </row>
    <row r="21" spans="1:7" x14ac:dyDescent="0.25">
      <c r="A21" s="16" t="s">
        <v>214</v>
      </c>
      <c r="B21" s="16">
        <f>COUNTIFS('Parc consolidé'!$D$4:$D$112,$A21,'Parc consolidé'!$B$4:$B$112,B$14)</f>
      </c>
      <c r="C21" s="16">
        <f>COUNTIFS('Parc consolidé'!$D$4:$D$112,$A21,'Parc consolidé'!$B$4:$B$112,C$14)</f>
      </c>
      <c r="D21" s="16">
        <f>COUNTIFS('Parc consolidé'!$D$4:$D$112,$A21,'Parc consolidé'!$B$4:$B$112,D$14)</f>
      </c>
      <c r="E21" s="16">
        <f>COUNTIFS('Parc consolidé'!$D$4:$D$112,$A21,'Parc consolidé'!$B$4:$B$112,E$14)</f>
      </c>
      <c r="F21" s="16">
        <f>COUNTIFS('Parc consolidé'!$D$4:$D$112,$A21,'Parc consolidé'!$B$4:$B$112,F$14)</f>
      </c>
      <c r="G21" s="16">
        <f>SUM(B21:F21)</f>
      </c>
    </row>
    <row r="22" spans="1:7" x14ac:dyDescent="0.25">
      <c r="A22" s="16" t="s">
        <v>54</v>
      </c>
      <c r="B22" s="16">
        <f>COUNTIFS('Parc consolidé'!$D$4:$D$112,$A22,'Parc consolidé'!$B$4:$B$112,B$14)</f>
      </c>
      <c r="C22" s="16">
        <f>COUNTIFS('Parc consolidé'!$D$4:$D$112,$A22,'Parc consolidé'!$B$4:$B$112,C$14)</f>
      </c>
      <c r="D22" s="16">
        <f>COUNTIFS('Parc consolidé'!$D$4:$D$112,$A22,'Parc consolidé'!$B$4:$B$112,D$14)</f>
      </c>
      <c r="E22" s="16">
        <f>COUNTIFS('Parc consolidé'!$D$4:$D$112,$A22,'Parc consolidé'!$B$4:$B$112,E$14)</f>
      </c>
      <c r="F22" s="16">
        <f>COUNTIFS('Parc consolidé'!$D$4:$D$112,$A22,'Parc consolidé'!$B$4:$B$112,F$14)</f>
      </c>
      <c r="G22" s="16">
        <f>SUM(B22:F22)</f>
      </c>
    </row>
    <row r="23" spans="1:7" x14ac:dyDescent="0.25">
      <c r="A23" s="16" t="s">
        <v>131</v>
      </c>
      <c r="B23" s="16">
        <f>COUNTIFS('Parc consolidé'!$D$4:$D$112,$A23,'Parc consolidé'!$B$4:$B$112,B$14)</f>
      </c>
      <c r="C23" s="16">
        <f>COUNTIFS('Parc consolidé'!$D$4:$D$112,$A23,'Parc consolidé'!$B$4:$B$112,C$14)</f>
      </c>
      <c r="D23" s="16">
        <f>COUNTIFS('Parc consolidé'!$D$4:$D$112,$A23,'Parc consolidé'!$B$4:$B$112,D$14)</f>
      </c>
      <c r="E23" s="16">
        <f>COUNTIFS('Parc consolidé'!$D$4:$D$112,$A23,'Parc consolidé'!$B$4:$B$112,E$14)</f>
      </c>
      <c r="F23" s="16">
        <f>COUNTIFS('Parc consolidé'!$D$4:$D$112,$A23,'Parc consolidé'!$B$4:$B$112,F$14)</f>
      </c>
      <c r="G23" s="16">
        <f>SUM(B23:F23)</f>
      </c>
    </row>
    <row r="24" spans="1:7" x14ac:dyDescent="0.25">
      <c r="A24" s="16" t="s">
        <v>29</v>
      </c>
      <c r="B24" s="16">
        <f>COUNTIFS('Parc consolidé'!$D$4:$D$112,$A24,'Parc consolidé'!$B$4:$B$112,B$14)</f>
      </c>
      <c r="C24" s="16">
        <f>COUNTIFS('Parc consolidé'!$D$4:$D$112,$A24,'Parc consolidé'!$B$4:$B$112,C$14)</f>
      </c>
      <c r="D24" s="16">
        <f>COUNTIFS('Parc consolidé'!$D$4:$D$112,$A24,'Parc consolidé'!$B$4:$B$112,D$14)</f>
      </c>
      <c r="E24" s="16">
        <f>COUNTIFS('Parc consolidé'!$D$4:$D$112,$A24,'Parc consolidé'!$B$4:$B$112,E$14)</f>
      </c>
      <c r="F24" s="16">
        <f>COUNTIFS('Parc consolidé'!$D$4:$D$112,$A24,'Parc consolidé'!$B$4:$B$112,F$14)</f>
      </c>
      <c r="G24" s="16">
        <f>SUM(B24:F24)</f>
      </c>
    </row>
    <row r="25" spans="1:7" x14ac:dyDescent="0.25">
      <c r="A25" s="16" t="s">
        <v>210</v>
      </c>
      <c r="B25" s="16">
        <f>COUNTIFS('Parc consolidé'!$D$4:$D$112,$A25,'Parc consolidé'!$B$4:$B$112,B$14)</f>
      </c>
      <c r="C25" s="16">
        <f>COUNTIFS('Parc consolidé'!$D$4:$D$112,$A25,'Parc consolidé'!$B$4:$B$112,C$14)</f>
      </c>
      <c r="D25" s="16">
        <f>COUNTIFS('Parc consolidé'!$D$4:$D$112,$A25,'Parc consolidé'!$B$4:$B$112,D$14)</f>
      </c>
      <c r="E25" s="16">
        <f>COUNTIFS('Parc consolidé'!$D$4:$D$112,$A25,'Parc consolidé'!$B$4:$B$112,E$14)</f>
      </c>
      <c r="F25" s="16">
        <f>COUNTIFS('Parc consolidé'!$D$4:$D$112,$A25,'Parc consolidé'!$B$4:$B$112,F$14)</f>
      </c>
      <c r="G25" s="16">
        <f>SUM(B25:F25)</f>
      </c>
    </row>
    <row r="26" spans="1:7" x14ac:dyDescent="0.25">
      <c r="A26" s="16" t="s">
        <v>297</v>
      </c>
      <c r="B26" s="16">
        <f>COUNTIFS('Parc consolidé'!$D$4:$D$112,$A26,'Parc consolidé'!$B$4:$B$112,B$14)</f>
      </c>
      <c r="C26" s="16">
        <f>COUNTIFS('Parc consolidé'!$D$4:$D$112,$A26,'Parc consolidé'!$B$4:$B$112,C$14)</f>
      </c>
      <c r="D26" s="16">
        <f>COUNTIFS('Parc consolidé'!$D$4:$D$112,$A26,'Parc consolidé'!$B$4:$B$112,D$14)</f>
      </c>
      <c r="E26" s="16">
        <f>COUNTIFS('Parc consolidé'!$D$4:$D$112,$A26,'Parc consolidé'!$B$4:$B$112,E$14)</f>
      </c>
      <c r="F26" s="16">
        <f>COUNTIFS('Parc consolidé'!$D$4:$D$112,$A26,'Parc consolidé'!$B$4:$B$112,F$14)</f>
      </c>
      <c r="G26" s="16">
        <f>SUM(B26:F26)</f>
      </c>
    </row>
    <row r="27" spans="1:7" x14ac:dyDescent="0.25">
      <c r="A27" s="16" t="s">
        <v>186</v>
      </c>
      <c r="B27" s="16">
        <f>COUNTIFS('Parc consolidé'!$D$4:$D$112,$A27,'Parc consolidé'!$B$4:$B$112,B$14)</f>
      </c>
      <c r="C27" s="16">
        <f>COUNTIFS('Parc consolidé'!$D$4:$D$112,$A27,'Parc consolidé'!$B$4:$B$112,C$14)</f>
      </c>
      <c r="D27" s="16">
        <f>COUNTIFS('Parc consolidé'!$D$4:$D$112,$A27,'Parc consolidé'!$B$4:$B$112,D$14)</f>
      </c>
      <c r="E27" s="16">
        <f>COUNTIFS('Parc consolidé'!$D$4:$D$112,$A27,'Parc consolidé'!$B$4:$B$112,E$14)</f>
      </c>
      <c r="F27" s="16">
        <f>COUNTIFS('Parc consolidé'!$D$4:$D$112,$A27,'Parc consolidé'!$B$4:$B$112,F$14)</f>
      </c>
      <c r="G27" s="16">
        <f>SUM(B27:F27)</f>
      </c>
    </row>
    <row r="28" spans="1:7" x14ac:dyDescent="0.25">
      <c r="A28" s="16" t="s">
        <v>48</v>
      </c>
      <c r="B28" s="16">
        <f>COUNTIFS('Parc consolidé'!$D$4:$D$112,$A28,'Parc consolidé'!$B$4:$B$112,B$14)</f>
      </c>
      <c r="C28" s="16">
        <f>COUNTIFS('Parc consolidé'!$D$4:$D$112,$A28,'Parc consolidé'!$B$4:$B$112,C$14)</f>
      </c>
      <c r="D28" s="16">
        <f>COUNTIFS('Parc consolidé'!$D$4:$D$112,$A28,'Parc consolidé'!$B$4:$B$112,D$14)</f>
      </c>
      <c r="E28" s="16">
        <f>COUNTIFS('Parc consolidé'!$D$4:$D$112,$A28,'Parc consolidé'!$B$4:$B$112,E$14)</f>
      </c>
      <c r="F28" s="16">
        <f>COUNTIFS('Parc consolidé'!$D$4:$D$112,$A28,'Parc consolidé'!$B$4:$B$112,F$14)</f>
      </c>
      <c r="G28" s="16">
        <f>SUM(B28:F28)</f>
      </c>
    </row>
    <row r="29" spans="1:7" x14ac:dyDescent="0.25">
      <c r="A29" s="16" t="s">
        <v>323</v>
      </c>
      <c r="B29" s="16">
        <f>COUNTIFS('Parc consolidé'!$D$4:$D$112,$A29,'Parc consolidé'!$B$4:$B$112,B$14)</f>
      </c>
      <c r="C29" s="16">
        <f>COUNTIFS('Parc consolidé'!$D$4:$D$112,$A29,'Parc consolidé'!$B$4:$B$112,C$14)</f>
      </c>
      <c r="D29" s="16">
        <f>COUNTIFS('Parc consolidé'!$D$4:$D$112,$A29,'Parc consolidé'!$B$4:$B$112,D$14)</f>
      </c>
      <c r="E29" s="16">
        <f>COUNTIFS('Parc consolidé'!$D$4:$D$112,$A29,'Parc consolidé'!$B$4:$B$112,E$14)</f>
      </c>
      <c r="F29" s="16">
        <f>COUNTIFS('Parc consolidé'!$D$4:$D$112,$A29,'Parc consolidé'!$B$4:$B$112,F$14)</f>
      </c>
      <c r="G29" s="16">
        <f>SUM(B29:F29)</f>
      </c>
    </row>
    <row r="30" spans="1:7" x14ac:dyDescent="0.25">
      <c r="A30" s="16" t="s">
        <v>195</v>
      </c>
      <c r="B30" s="16">
        <f>COUNTIFS('Parc consolidé'!$D$4:$D$112,$A30,'Parc consolidé'!$B$4:$B$112,B$14)</f>
      </c>
      <c r="C30" s="16">
        <f>COUNTIFS('Parc consolidé'!$D$4:$D$112,$A30,'Parc consolidé'!$B$4:$B$112,C$14)</f>
      </c>
      <c r="D30" s="16">
        <f>COUNTIFS('Parc consolidé'!$D$4:$D$112,$A30,'Parc consolidé'!$B$4:$B$112,D$14)</f>
      </c>
      <c r="E30" s="16">
        <f>COUNTIFS('Parc consolidé'!$D$4:$D$112,$A30,'Parc consolidé'!$B$4:$B$112,E$14)</f>
      </c>
      <c r="F30" s="16">
        <f>COUNTIFS('Parc consolidé'!$D$4:$D$112,$A30,'Parc consolidé'!$B$4:$B$112,F$14)</f>
      </c>
      <c r="G30" s="16">
        <f>SUM(B30:F30)</f>
      </c>
    </row>
    <row r="31" spans="1:7" x14ac:dyDescent="0.25">
      <c r="A31" s="16" t="s">
        <v>23</v>
      </c>
      <c r="B31" s="16">
        <f>COUNTIFS('Parc consolidé'!$D$4:$D$112,$A31,'Parc consolidé'!$B$4:$B$112,B$14)</f>
      </c>
      <c r="C31" s="16">
        <f>COUNTIFS('Parc consolidé'!$D$4:$D$112,$A31,'Parc consolidé'!$B$4:$B$112,C$14)</f>
      </c>
      <c r="D31" s="16">
        <f>COUNTIFS('Parc consolidé'!$D$4:$D$112,$A31,'Parc consolidé'!$B$4:$B$112,D$14)</f>
      </c>
      <c r="E31" s="16">
        <f>COUNTIFS('Parc consolidé'!$D$4:$D$112,$A31,'Parc consolidé'!$B$4:$B$112,E$14)</f>
      </c>
      <c r="F31" s="16">
        <f>COUNTIFS('Parc consolidé'!$D$4:$D$112,$A31,'Parc consolidé'!$B$4:$B$112,F$14)</f>
      </c>
      <c r="G31" s="16">
        <f>SUM(B31:F31)</f>
      </c>
    </row>
    <row r="32" spans="1:7" x14ac:dyDescent="0.25">
      <c r="A32" s="16" t="s">
        <v>171</v>
      </c>
      <c r="B32" s="16">
        <f>COUNTIFS('Parc consolidé'!$D$4:$D$112,$A32,'Parc consolidé'!$B$4:$B$112,B$14)</f>
      </c>
      <c r="C32" s="16">
        <f>COUNTIFS('Parc consolidé'!$D$4:$D$112,$A32,'Parc consolidé'!$B$4:$B$112,C$14)</f>
      </c>
      <c r="D32" s="16">
        <f>COUNTIFS('Parc consolidé'!$D$4:$D$112,$A32,'Parc consolidé'!$B$4:$B$112,D$14)</f>
      </c>
      <c r="E32" s="16">
        <f>COUNTIFS('Parc consolidé'!$D$4:$D$112,$A32,'Parc consolidé'!$B$4:$B$112,E$14)</f>
      </c>
      <c r="F32" s="16">
        <f>COUNTIFS('Parc consolidé'!$D$4:$D$112,$A32,'Parc consolidé'!$B$4:$B$112,F$14)</f>
      </c>
      <c r="G32" s="16">
        <f>SUM(B32:F32)</f>
      </c>
    </row>
    <row r="33" spans="1:7" x14ac:dyDescent="0.25">
      <c r="A33" s="16" t="s">
        <v>190</v>
      </c>
      <c r="B33" s="16">
        <f>COUNTIFS('Parc consolidé'!$D$4:$D$112,$A33,'Parc consolidé'!$B$4:$B$112,B$14)</f>
      </c>
      <c r="C33" s="16">
        <f>COUNTIFS('Parc consolidé'!$D$4:$D$112,$A33,'Parc consolidé'!$B$4:$B$112,C$14)</f>
      </c>
      <c r="D33" s="16">
        <f>COUNTIFS('Parc consolidé'!$D$4:$D$112,$A33,'Parc consolidé'!$B$4:$B$112,D$14)</f>
      </c>
      <c r="E33" s="16">
        <f>COUNTIFS('Parc consolidé'!$D$4:$D$112,$A33,'Parc consolidé'!$B$4:$B$112,E$14)</f>
      </c>
      <c r="F33" s="16">
        <f>COUNTIFS('Parc consolidé'!$D$4:$D$112,$A33,'Parc consolidé'!$B$4:$B$112,F$14)</f>
      </c>
      <c r="G33" s="16">
        <f>SUM(B33:F33)</f>
      </c>
    </row>
    <row r="34" spans="1:7" x14ac:dyDescent="0.25">
      <c r="A34" s="16" t="s">
        <v>35</v>
      </c>
      <c r="B34" s="16">
        <f>COUNTIFS('Parc consolidé'!$D$4:$D$112,$A34,'Parc consolidé'!$B$4:$B$112,B$14)</f>
      </c>
      <c r="C34" s="16">
        <f>COUNTIFS('Parc consolidé'!$D$4:$D$112,$A34,'Parc consolidé'!$B$4:$B$112,C$14)</f>
      </c>
      <c r="D34" s="16">
        <f>COUNTIFS('Parc consolidé'!$D$4:$D$112,$A34,'Parc consolidé'!$B$4:$B$112,D$14)</f>
      </c>
      <c r="E34" s="16">
        <f>COUNTIFS('Parc consolidé'!$D$4:$D$112,$A34,'Parc consolidé'!$B$4:$B$112,E$14)</f>
      </c>
      <c r="F34" s="16">
        <f>COUNTIFS('Parc consolidé'!$D$4:$D$112,$A34,'Parc consolidé'!$B$4:$B$112,F$14)</f>
      </c>
      <c r="G34" s="16">
        <f>SUM(B34:F34)</f>
      </c>
    </row>
    <row r="35" spans="1:7" x14ac:dyDescent="0.25">
      <c r="A35" s="16" t="s">
        <v>332</v>
      </c>
      <c r="B35" s="16">
        <f>COUNTIFS('Parc consolidé'!$D$4:$D$112,$A35,'Parc consolidé'!$B$4:$B$112,B$14)</f>
      </c>
      <c r="C35" s="16">
        <f>COUNTIFS('Parc consolidé'!$D$4:$D$112,$A35,'Parc consolidé'!$B$4:$B$112,C$14)</f>
      </c>
      <c r="D35" s="16">
        <f>COUNTIFS('Parc consolidé'!$D$4:$D$112,$A35,'Parc consolidé'!$B$4:$B$112,D$14)</f>
      </c>
      <c r="E35" s="16">
        <f>COUNTIFS('Parc consolidé'!$D$4:$D$112,$A35,'Parc consolidé'!$B$4:$B$112,E$14)</f>
      </c>
      <c r="F35" s="16">
        <f>COUNTIFS('Parc consolidé'!$D$4:$D$112,$A35,'Parc consolidé'!$B$4:$B$112,F$14)</f>
      </c>
      <c r="G35" s="16">
        <f>SUM(B35:F35)</f>
      </c>
    </row>
    <row r="36" spans="1:7" x14ac:dyDescent="0.25">
      <c r="A36" s="16" t="s">
        <v>197</v>
      </c>
      <c r="B36" s="16">
        <f>COUNTIFS('Parc consolidé'!$D$4:$D$112,$A36,'Parc consolidé'!$B$4:$B$112,B$14)</f>
      </c>
      <c r="C36" s="16">
        <f>COUNTIFS('Parc consolidé'!$D$4:$D$112,$A36,'Parc consolidé'!$B$4:$B$112,C$14)</f>
      </c>
      <c r="D36" s="16">
        <f>COUNTIFS('Parc consolidé'!$D$4:$D$112,$A36,'Parc consolidé'!$B$4:$B$112,D$14)</f>
      </c>
      <c r="E36" s="16">
        <f>COUNTIFS('Parc consolidé'!$D$4:$D$112,$A36,'Parc consolidé'!$B$4:$B$112,E$14)</f>
      </c>
      <c r="F36" s="16">
        <f>COUNTIFS('Parc consolidé'!$D$4:$D$112,$A36,'Parc consolidé'!$B$4:$B$112,F$14)</f>
      </c>
      <c r="G36" s="16">
        <f>SUM(B36:F36)</f>
      </c>
    </row>
    <row r="39" spans="1:1" x14ac:dyDescent="0.25">
      <c r="A39" s="22" t="s">
        <v>415</v>
      </c>
    </row>
    <row r="40" ht="32" customHeight="1" spans="1:7" x14ac:dyDescent="0.25">
      <c r="A40" s="3" t="s">
        <v>416</v>
      </c>
      <c r="B40" s="3" t="s">
        <v>20</v>
      </c>
      <c r="C40" s="3" t="s">
        <v>64</v>
      </c>
      <c r="D40" s="3" t="s">
        <v>259</v>
      </c>
      <c r="E40" s="3" t="s">
        <v>321</v>
      </c>
      <c r="F40" s="3" t="s">
        <v>355</v>
      </c>
      <c r="G40" s="3" t="s">
        <v>414</v>
      </c>
    </row>
    <row r="41" spans="1:7" x14ac:dyDescent="0.25">
      <c r="A41" s="16" t="s">
        <v>417</v>
      </c>
      <c r="B41" s="16">
        <f>COUNTIFS('Parc consolidé'!$O$4:$O$112,$A41,'Parc consolidé'!$B$4:$B$112,B$40)</f>
      </c>
      <c r="C41" s="16">
        <f>COUNTIFS('Parc consolidé'!$O$4:$O$112,$A41,'Parc consolidé'!$B$4:$B$112,C$40)</f>
      </c>
      <c r="D41" s="16">
        <f>COUNTIFS('Parc consolidé'!$O$4:$O$112,$A41,'Parc consolidé'!$B$4:$B$112,D$40)</f>
      </c>
      <c r="E41" s="16">
        <f>COUNTIFS('Parc consolidé'!$O$4:$O$112,$A41,'Parc consolidé'!$B$4:$B$112,E$40)</f>
      </c>
      <c r="F41" s="16">
        <f>COUNTIFS('Parc consolidé'!$O$4:$O$112,$A41,'Parc consolidé'!$B$4:$B$112,F$40)</f>
      </c>
      <c r="G41" s="16">
        <f>SUM(B41:F41)</f>
      </c>
    </row>
    <row r="42" spans="1:7" x14ac:dyDescent="0.25">
      <c r="A42" s="16" t="s">
        <v>418</v>
      </c>
      <c r="B42" s="16">
        <f>COUNTIFS('Parc consolidé'!$O$4:$O$112,$A42,'Parc consolidé'!$B$4:$B$112,B$40)</f>
      </c>
      <c r="C42" s="16">
        <f>COUNTIFS('Parc consolidé'!$O$4:$O$112,$A42,'Parc consolidé'!$B$4:$B$112,C$40)</f>
      </c>
      <c r="D42" s="16">
        <f>COUNTIFS('Parc consolidé'!$O$4:$O$112,$A42,'Parc consolidé'!$B$4:$B$112,D$40)</f>
      </c>
      <c r="E42" s="16">
        <f>COUNTIFS('Parc consolidé'!$O$4:$O$112,$A42,'Parc consolidé'!$B$4:$B$112,E$40)</f>
      </c>
      <c r="F42" s="16">
        <f>COUNTIFS('Parc consolidé'!$O$4:$O$112,$A42,'Parc consolidé'!$B$4:$B$112,F$40)</f>
      </c>
      <c r="G42" s="16">
        <f>SUM(B42:F42)</f>
      </c>
    </row>
    <row r="43" spans="1:7" x14ac:dyDescent="0.25">
      <c r="A43" s="16" t="s">
        <v>419</v>
      </c>
      <c r="B43" s="16">
        <f>COUNTIFS('Parc consolidé'!$O$4:$O$112,$A43,'Parc consolidé'!$B$4:$B$112,B$40)</f>
      </c>
      <c r="C43" s="16">
        <f>COUNTIFS('Parc consolidé'!$O$4:$O$112,$A43,'Parc consolidé'!$B$4:$B$112,C$40)</f>
      </c>
      <c r="D43" s="16">
        <f>COUNTIFS('Parc consolidé'!$O$4:$O$112,$A43,'Parc consolidé'!$B$4:$B$112,D$40)</f>
      </c>
      <c r="E43" s="16">
        <f>COUNTIFS('Parc consolidé'!$O$4:$O$112,$A43,'Parc consolidé'!$B$4:$B$112,E$40)</f>
      </c>
      <c r="F43" s="16">
        <f>COUNTIFS('Parc consolidé'!$O$4:$O$112,$A43,'Parc consolidé'!$B$4:$B$112,F$40)</f>
      </c>
      <c r="G43" s="16">
        <f>SUM(B43:F43)</f>
      </c>
    </row>
    <row r="44" spans="1:7" x14ac:dyDescent="0.25">
      <c r="A44" s="16" t="s">
        <v>420</v>
      </c>
      <c r="B44" s="16">
        <f>COUNTIFS('Parc consolidé'!$O$4:$O$112,$A44,'Parc consolidé'!$B$4:$B$112,B$40)</f>
      </c>
      <c r="C44" s="16">
        <f>COUNTIFS('Parc consolidé'!$O$4:$O$112,$A44,'Parc consolidé'!$B$4:$B$112,C$40)</f>
      </c>
      <c r="D44" s="16">
        <f>COUNTIFS('Parc consolidé'!$O$4:$O$112,$A44,'Parc consolidé'!$B$4:$B$112,D$40)</f>
      </c>
      <c r="E44" s="16">
        <f>COUNTIFS('Parc consolidé'!$O$4:$O$112,$A44,'Parc consolidé'!$B$4:$B$112,E$40)</f>
      </c>
      <c r="F44" s="16">
        <f>COUNTIFS('Parc consolidé'!$O$4:$O$112,$A44,'Parc consolidé'!$B$4:$B$112,F$40)</f>
      </c>
      <c r="G44" s="16">
        <f>SUM(B44:F44)</f>
      </c>
    </row>
    <row r="45" spans="1:7" x14ac:dyDescent="0.25">
      <c r="A45" s="16" t="s">
        <v>421</v>
      </c>
      <c r="B45" s="16">
        <f>COUNTIFS('Parc consolidé'!$O$4:$O$112,$A45,'Parc consolidé'!$B$4:$B$112,B$40)</f>
      </c>
      <c r="C45" s="16">
        <f>COUNTIFS('Parc consolidé'!$O$4:$O$112,$A45,'Parc consolidé'!$B$4:$B$112,C$40)</f>
      </c>
      <c r="D45" s="16">
        <f>COUNTIFS('Parc consolidé'!$O$4:$O$112,$A45,'Parc consolidé'!$B$4:$B$112,D$40)</f>
      </c>
      <c r="E45" s="16">
        <f>COUNTIFS('Parc consolidé'!$O$4:$O$112,$A45,'Parc consolidé'!$B$4:$B$112,E$40)</f>
      </c>
      <c r="F45" s="16">
        <f>COUNTIFS('Parc consolidé'!$O$4:$O$112,$A45,'Parc consolidé'!$B$4:$B$112,F$40)</f>
      </c>
      <c r="G45" s="16">
        <f>SUM(B45:F45)</f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6" customWidth="1"/>
    <col min="2" max="2" width="22" customWidth="1"/>
    <col min="3" max="3" width="70" customWidth="1"/>
    <col min="4" max="4" width="40" customWidth="1"/>
    <col min="5" max="5" width="14" customWidth="1"/>
  </cols>
  <sheetData>
    <row r="1" spans="1:5" x14ac:dyDescent="0.25">
      <c r="A1" s="1" t="s">
        <v>422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32" customHeight="1" spans="1:5" x14ac:dyDescent="0.25">
      <c r="A4" s="3" t="s">
        <v>2</v>
      </c>
      <c r="B4" s="3" t="s">
        <v>423</v>
      </c>
      <c r="C4" s="3" t="s">
        <v>424</v>
      </c>
      <c r="D4" s="3" t="s">
        <v>425</v>
      </c>
      <c r="E4" s="3" t="s">
        <v>426</v>
      </c>
    </row>
    <row r="5" spans="1:5" x14ac:dyDescent="0.25">
      <c r="A5" s="23">
        <v>1</v>
      </c>
      <c r="B5" s="23" t="s">
        <v>409</v>
      </c>
      <c r="C5" s="23" t="s">
        <v>427</v>
      </c>
      <c r="D5" s="23" t="s">
        <v>428</v>
      </c>
      <c r="E5" s="24" t="s">
        <v>429</v>
      </c>
    </row>
    <row r="6" spans="1:5" x14ac:dyDescent="0.25">
      <c r="A6" s="23">
        <v>2</v>
      </c>
      <c r="B6" s="23" t="s">
        <v>409</v>
      </c>
      <c r="C6" s="23" t="s">
        <v>430</v>
      </c>
      <c r="D6" s="23" t="s">
        <v>431</v>
      </c>
      <c r="E6" s="24" t="s">
        <v>429</v>
      </c>
    </row>
    <row r="7" spans="1:5" x14ac:dyDescent="0.25">
      <c r="A7" s="23">
        <v>3</v>
      </c>
      <c r="B7" s="23" t="s">
        <v>432</v>
      </c>
      <c r="C7" s="23" t="s">
        <v>433</v>
      </c>
      <c r="D7" s="23" t="s">
        <v>434</v>
      </c>
      <c r="E7" s="25" t="s">
        <v>435</v>
      </c>
    </row>
    <row r="8" spans="1:5" x14ac:dyDescent="0.25">
      <c r="A8" s="23">
        <v>4</v>
      </c>
      <c r="B8" s="23" t="s">
        <v>432</v>
      </c>
      <c r="C8" s="23" t="s">
        <v>436</v>
      </c>
      <c r="D8" s="23" t="s">
        <v>434</v>
      </c>
      <c r="E8" s="25" t="s">
        <v>435</v>
      </c>
    </row>
    <row r="9" spans="1:5" x14ac:dyDescent="0.25">
      <c r="A9" s="23">
        <v>5</v>
      </c>
      <c r="B9" s="23" t="s">
        <v>432</v>
      </c>
      <c r="C9" s="23" t="s">
        <v>437</v>
      </c>
      <c r="D9" s="23" t="s">
        <v>434</v>
      </c>
      <c r="E9" s="25" t="s">
        <v>435</v>
      </c>
    </row>
    <row r="10" spans="1:5" x14ac:dyDescent="0.25">
      <c r="A10" s="23">
        <v>6</v>
      </c>
      <c r="B10" s="23" t="s">
        <v>432</v>
      </c>
      <c r="C10" s="23" t="s">
        <v>438</v>
      </c>
      <c r="D10" s="23" t="s">
        <v>439</v>
      </c>
      <c r="E10" s="25" t="s">
        <v>435</v>
      </c>
    </row>
    <row r="11" spans="1:5" x14ac:dyDescent="0.25">
      <c r="A11" s="23">
        <v>7</v>
      </c>
      <c r="B11" s="23" t="s">
        <v>432</v>
      </c>
      <c r="C11" s="23" t="s">
        <v>440</v>
      </c>
      <c r="D11" s="23" t="s">
        <v>439</v>
      </c>
      <c r="E11" s="25" t="s">
        <v>435</v>
      </c>
    </row>
    <row r="12" spans="1:5" x14ac:dyDescent="0.25">
      <c r="A12" s="23">
        <v>8</v>
      </c>
      <c r="B12" s="23" t="s">
        <v>441</v>
      </c>
      <c r="C12" s="23" t="s">
        <v>442</v>
      </c>
      <c r="D12" s="23" t="s">
        <v>443</v>
      </c>
      <c r="E12" s="25" t="s">
        <v>435</v>
      </c>
    </row>
    <row r="13" spans="1:5" x14ac:dyDescent="0.25">
      <c r="A13" s="23">
        <v>9</v>
      </c>
      <c r="B13" s="23" t="s">
        <v>444</v>
      </c>
      <c r="C13" s="23" t="s">
        <v>445</v>
      </c>
      <c r="D13" s="23" t="s">
        <v>446</v>
      </c>
      <c r="E13" s="25" t="s">
        <v>435</v>
      </c>
    </row>
    <row r="14" spans="1:5" x14ac:dyDescent="0.25">
      <c r="A14" s="23">
        <v>10</v>
      </c>
      <c r="B14" s="23" t="s">
        <v>444</v>
      </c>
      <c r="C14" s="23" t="s">
        <v>447</v>
      </c>
      <c r="D14" s="23" t="s">
        <v>448</v>
      </c>
      <c r="E14" s="25" t="s">
        <v>435</v>
      </c>
    </row>
    <row r="15" spans="1:5" x14ac:dyDescent="0.25">
      <c r="A15" s="23">
        <v>11</v>
      </c>
      <c r="B15" s="23" t="s">
        <v>449</v>
      </c>
      <c r="C15" s="23" t="s">
        <v>450</v>
      </c>
      <c r="D15" s="23" t="s">
        <v>451</v>
      </c>
      <c r="E15" s="26" t="s">
        <v>452</v>
      </c>
    </row>
    <row r="16" spans="1:5" x14ac:dyDescent="0.25">
      <c r="A16" s="23">
        <v>12</v>
      </c>
      <c r="B16" s="23" t="s">
        <v>453</v>
      </c>
      <c r="C16" s="23" t="s">
        <v>454</v>
      </c>
      <c r="D16" s="23" t="s">
        <v>455</v>
      </c>
      <c r="E16" s="26" t="s">
        <v>456</v>
      </c>
    </row>
    <row r="17" spans="1:5" x14ac:dyDescent="0.25">
      <c r="A17" s="23">
        <v>13</v>
      </c>
      <c r="B17" s="23" t="s">
        <v>178</v>
      </c>
      <c r="C17" s="23" t="s">
        <v>457</v>
      </c>
      <c r="D17" s="23" t="s">
        <v>458</v>
      </c>
      <c r="E17" s="26" t="s">
        <v>452</v>
      </c>
    </row>
    <row r="18" spans="1:5" x14ac:dyDescent="0.25">
      <c r="A18" s="23">
        <v>14</v>
      </c>
      <c r="B18" s="23" t="s">
        <v>459</v>
      </c>
      <c r="C18" s="23" t="s">
        <v>460</v>
      </c>
      <c r="D18" s="23" t="s">
        <v>461</v>
      </c>
      <c r="E18" s="26" t="s">
        <v>452</v>
      </c>
    </row>
    <row r="19" spans="1:5" x14ac:dyDescent="0.25">
      <c r="A19" s="23">
        <v>15</v>
      </c>
      <c r="B19" s="23" t="s">
        <v>7</v>
      </c>
      <c r="C19" s="23" t="s">
        <v>462</v>
      </c>
      <c r="D19" s="23" t="s">
        <v>463</v>
      </c>
      <c r="E19" s="26" t="s">
        <v>456</v>
      </c>
    </row>
    <row r="20" spans="1:5" x14ac:dyDescent="0.25">
      <c r="A20" s="23">
        <v>16</v>
      </c>
      <c r="B20" s="23" t="s">
        <v>464</v>
      </c>
      <c r="C20" s="23" t="s">
        <v>465</v>
      </c>
      <c r="D20" s="23" t="s">
        <v>466</v>
      </c>
      <c r="E20" s="25" t="s">
        <v>435</v>
      </c>
    </row>
    <row r="21" spans="1:5" x14ac:dyDescent="0.25">
      <c r="A21" s="23">
        <v>17</v>
      </c>
      <c r="B21" s="23" t="s">
        <v>467</v>
      </c>
      <c r="C21" s="23" t="s">
        <v>468</v>
      </c>
      <c r="D21" s="23" t="s">
        <v>469</v>
      </c>
      <c r="E21" s="26" t="s">
        <v>456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Parc consolidé</vt:lpstr>
      <vt:lpstr>Synthèse</vt:lpstr>
      <vt:lpstr>Anomalies à corriger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BELEJ-CONSULTING</dc:creator>
  <dc:title/>
  <dc:subject/>
  <dc:description/>
  <cp:keywords/>
  <cp:category/>
  <cp:lastModifiedBy>Unknown</cp:lastModifiedBy>
  <dcterms:created xsi:type="dcterms:W3CDTF">2026-10-15T15:00:46Z</dcterms:created>
  <dcterms:modified xsi:type="dcterms:W3CDTF">2026-10-15T15:00:46Z</dcterms:modified>
</cp:coreProperties>
</file>